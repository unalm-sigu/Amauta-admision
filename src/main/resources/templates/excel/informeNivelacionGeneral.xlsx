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yectos unalm github\lamolina-amauta\src\main\resources\templates\excel\"/>
    </mc:Choice>
  </mc:AlternateContent>
  <bookViews>
    <workbookView xWindow="0" yWindow="0" windowWidth="28800" windowHeight="12210"/>
  </bookViews>
  <sheets>
    <sheet name="Hoja1" sheetId="1" r:id="rId1"/>
  </sheets>
  <definedNames>
    <definedName name="_xlnm.Print_Area" localSheetId="0">Hoja1!$A$1:$F$133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  <c r="D39" i="1"/>
  <c r="C39" i="1"/>
  <c r="F53" i="1" l="1"/>
  <c r="H33" i="1" l="1"/>
  <c r="H25" i="1"/>
  <c r="C85" i="1" l="1"/>
  <c r="J84" i="1" l="1"/>
  <c r="J83" i="1"/>
  <c r="J82" i="1"/>
  <c r="J81" i="1"/>
  <c r="J80" i="1"/>
  <c r="J79" i="1"/>
  <c r="J78" i="1"/>
  <c r="J77" i="1"/>
  <c r="I84" i="1"/>
  <c r="I83" i="1"/>
  <c r="I82" i="1"/>
  <c r="I81" i="1"/>
  <c r="I80" i="1"/>
  <c r="I79" i="1"/>
  <c r="I78" i="1"/>
  <c r="I77" i="1"/>
  <c r="H78" i="1"/>
  <c r="H79" i="1"/>
  <c r="H80" i="1"/>
  <c r="H81" i="1"/>
  <c r="H82" i="1"/>
  <c r="H83" i="1"/>
  <c r="H84" i="1"/>
  <c r="H77" i="1"/>
  <c r="C53" i="1"/>
  <c r="E53" i="1"/>
  <c r="D53" i="1"/>
  <c r="F85" i="1"/>
  <c r="E85" i="1"/>
  <c r="D85" i="1"/>
  <c r="E110" i="1" s="1"/>
  <c r="I32" i="1"/>
  <c r="I31" i="1"/>
  <c r="I30" i="1"/>
  <c r="I29" i="1"/>
  <c r="I28" i="1"/>
  <c r="I27" i="1"/>
  <c r="I26" i="1"/>
  <c r="I25" i="1"/>
  <c r="H32" i="1"/>
  <c r="H31" i="1"/>
  <c r="H30" i="1"/>
  <c r="H29" i="1"/>
  <c r="H28" i="1"/>
  <c r="H27" i="1"/>
  <c r="H26" i="1"/>
  <c r="E109" i="1" l="1"/>
  <c r="I33" i="1"/>
</calcChain>
</file>

<file path=xl/sharedStrings.xml><?xml version="1.0" encoding="utf-8"?>
<sst xmlns="http://schemas.openxmlformats.org/spreadsheetml/2006/main" count="153" uniqueCount="71">
  <si>
    <t>DIRECCIÓN DE ESTUDIOS GENERALES</t>
  </si>
  <si>
    <t>MATERIA DE NIVELACIÓN</t>
  </si>
  <si>
    <t>TOTAL INGRESANTES INSCRITOS</t>
  </si>
  <si>
    <t>INGRESANTES INSCRITOS APROBADOS</t>
  </si>
  <si>
    <t>INGRESANTES INSCRITOS DESAPROBADOS</t>
  </si>
  <si>
    <t>MATEMÁTICA</t>
  </si>
  <si>
    <t>COMPRENSIÓN TEXTUAL</t>
  </si>
  <si>
    <t>BIOLOGÍA</t>
  </si>
  <si>
    <t>FÍSICA</t>
  </si>
  <si>
    <t>QUÍMICA</t>
  </si>
  <si>
    <t>ECONOMÍA</t>
  </si>
  <si>
    <t>GEOGRAFÍA</t>
  </si>
  <si>
    <t>HISTORIA DEL PERÚ Y DEL MUNDO</t>
  </si>
  <si>
    <t>TOTAL</t>
  </si>
  <si>
    <t>INGRESANTES INSCRITOS CON &gt;=50% DE ASISTENCIA</t>
  </si>
  <si>
    <t>INGRESANTES INSCRITOS CON &lt;50% DE ASISTENCIA</t>
  </si>
  <si>
    <t>INGRESANTES INSCRITOS CON 0% DE ASISTENCIA</t>
  </si>
  <si>
    <t>INDICADOR</t>
  </si>
  <si>
    <t>FÓRMULA DEL INDICADOR</t>
  </si>
  <si>
    <t xml:space="preserve">Porcentaje de inscritos que aprobaron en el proceso de nivelación  </t>
  </si>
  <si>
    <t>KP1= (Número de ingresantes inscritos que aprobaron la nivelación/ Total de ingresantes inscritos que llevaron nivelación)*100</t>
  </si>
  <si>
    <t>Nivel de asistencia de inscritos al programa de nivelación</t>
  </si>
  <si>
    <t>KP2= (Número de ingresantes inscritos&gt; 50% asistencia/ Total de ingresantes inscritos en la nivelación)</t>
  </si>
  <si>
    <t xml:space="preserve"> </t>
  </si>
  <si>
    <t>% INGRESANTES INSCRITOS APROBADOS</t>
  </si>
  <si>
    <t>% INGRESANTES INSCRITOS DESAPROBADOS</t>
  </si>
  <si>
    <t>KPI 
(Ciclo actual)</t>
  </si>
  <si>
    <t>OBSERVACIONES:</t>
  </si>
  <si>
    <t xml:space="preserve">ANÁLISIS Y ACCIONES: </t>
  </si>
  <si>
    <t>Directora</t>
  </si>
  <si>
    <t xml:space="preserve">Dirección de Estudios Generales </t>
  </si>
  <si>
    <t>CICLO:</t>
  </si>
  <si>
    <t xml:space="preserve"> II. ANÁLISIS DE LOS RESULTADOS DE LA NIVELACIÓN DE INGRESANTES</t>
  </si>
  <si>
    <t xml:space="preserve"> I. ANÁLISIS DE LOS RESULTADOS DEL EXAMEN DE ADMISIÓN</t>
  </si>
  <si>
    <t>KPI 
(Ciclo anterior)</t>
  </si>
  <si>
    <t>Razonamiento Matemático</t>
  </si>
  <si>
    <t>Matemática</t>
  </si>
  <si>
    <t>Razonamiento Verbal</t>
  </si>
  <si>
    <t>Física</t>
  </si>
  <si>
    <t>Química</t>
  </si>
  <si>
    <t>Biología</t>
  </si>
  <si>
    <t>Economía</t>
  </si>
  <si>
    <t>Historia del Perú</t>
  </si>
  <si>
    <t>Geografía</t>
  </si>
  <si>
    <t>MATERIA DE EXAMEN DE ADMISIÓN</t>
  </si>
  <si>
    <t>CARRERA</t>
  </si>
  <si>
    <t>Agronomía</t>
  </si>
  <si>
    <t>Estadística Informática</t>
  </si>
  <si>
    <t>Industrias Alimentarias</t>
  </si>
  <si>
    <t>Ingeniería Agrícola</t>
  </si>
  <si>
    <t>Ingeniería Ambiental</t>
  </si>
  <si>
    <t>Ingeniería en Gestión Empresarial</t>
  </si>
  <si>
    <t>Ingeniería Forestal</t>
  </si>
  <si>
    <t>Ingeniería Meteorológica y Gestión de Riesgos Climáticos</t>
  </si>
  <si>
    <t>Pesquería</t>
  </si>
  <si>
    <t>Zootecnia</t>
  </si>
  <si>
    <r>
      <t xml:space="preserve">Cuadro 1. </t>
    </r>
    <r>
      <rPr>
        <sz val="11"/>
        <color theme="1"/>
        <rFont val="Aptos Narrow"/>
        <family val="2"/>
        <scheme val="minor"/>
      </rPr>
      <t>Desempeño de los Ingresantes en el Examen de Admisión</t>
    </r>
  </si>
  <si>
    <t>N° APROBADOS</t>
  </si>
  <si>
    <t>% APROBADOS</t>
  </si>
  <si>
    <t>N° DESAPROBADOS</t>
  </si>
  <si>
    <t xml:space="preserve"> % DESAPROBADOS</t>
  </si>
  <si>
    <t>APROBADOS*</t>
  </si>
  <si>
    <t>DESAPROBADOS</t>
  </si>
  <si>
    <t xml:space="preserve">*Ingresantes inscritos que aprobaron alguna de las materia de nivelación </t>
  </si>
  <si>
    <r>
      <t xml:space="preserve">Cuadro 2. </t>
    </r>
    <r>
      <rPr>
        <sz val="11"/>
        <color theme="1"/>
        <rFont val="Aptos Narrow"/>
        <family val="2"/>
        <scheme val="minor"/>
      </rPr>
      <t>Desempeño general de los ingresantes inscritos en la nivelación, desglosado por carrera</t>
    </r>
  </si>
  <si>
    <r>
      <t xml:space="preserve">Cuadro 3. </t>
    </r>
    <r>
      <rPr>
        <sz val="11"/>
        <color theme="1"/>
        <rFont val="Aptos Narrow"/>
        <family val="2"/>
        <scheme val="minor"/>
      </rPr>
      <t>Desempeño de Ingresantes en las Materias de Nivelación</t>
    </r>
  </si>
  <si>
    <r>
      <t xml:space="preserve">Cuadro 4. </t>
    </r>
    <r>
      <rPr>
        <sz val="11"/>
        <color theme="1"/>
        <rFont val="Aptos Narrow"/>
        <family val="2"/>
        <scheme val="minor"/>
      </rPr>
      <t>Resumen de Asistencia de Ingresantes Inscritos</t>
    </r>
  </si>
  <si>
    <t>Cuadro 5. Indicadores de la nivelación de ingresantes</t>
  </si>
  <si>
    <t>RESULTADOS DE LA NIVELACIÓN DE INGRESANTES GENERAL</t>
  </si>
  <si>
    <t>-</t>
  </si>
  <si>
    <t>INGRESANTES INSCRITOS SIN 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</si>
</sst>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@\ &quot;*&quot;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1" applyFont="1" applyBorder="1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0" xfId="0" applyBorder="1"/>
    <xf numFmtId="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65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1" fontId="0" fillId="2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" fontId="0" fillId="2" borderId="0" xfId="1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7C80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Hoja1!$D$44</c:f>
              <c:strCache>
                <c:ptCount val="1"/>
                <c:pt idx="0">
                  <c:v>INGRESANTES INSCRITOS APROBADOS</c:v>
                </c:pt>
              </c:strCache>
            </c:strRef>
          </c:tx>
          <c:spPr>
            <a:solidFill>
              <a:srgbClr val="6699FF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34D-483F-A570-FA61CA0F602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34D-483F-A570-FA61CA0F602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34D-483F-A570-FA61CA0F602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34D-483F-A570-FA61CA0F602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34D-483F-A570-FA61CA0F602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34D-483F-A570-FA61CA0F602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34D-483F-A570-FA61CA0F602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34D-483F-A570-FA61CA0F60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Hoja1!$B$45:$B$52</c:f>
              <c:strCache>
                <c:ptCount val="8"/>
                <c:pt idx="0">
                  <c:v>MATEMÁTICA</c:v>
                </c:pt>
                <c:pt idx="1">
                  <c:v>COMPRENSIÓN TEXTUAL</c:v>
                </c:pt>
                <c:pt idx="2">
                  <c:v>BIOLOGÍA</c:v>
                </c:pt>
                <c:pt idx="3">
                  <c:v>FÍSICA</c:v>
                </c:pt>
                <c:pt idx="4">
                  <c:v>QUÍMICA</c:v>
                </c:pt>
                <c:pt idx="5">
                  <c:v>ECONOMÍA</c:v>
                </c:pt>
                <c:pt idx="6">
                  <c:v>GEOGRAFÍA</c:v>
                </c:pt>
                <c:pt idx="7">
                  <c:v>HISTORIA DEL PERÚ Y DEL MUNDO</c:v>
                </c:pt>
              </c:strCache>
            </c:strRef>
          </c:cat>
          <c:val>
            <c:numRef>
              <c:f>Hoja1!$D$45:$D$52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4D-483F-A570-FA61CA0F6023}"/>
            </c:ext>
          </c:extLst>
        </c:ser>
        <c:ser>
          <c:idx val="2"/>
          <c:order val="2"/>
          <c:tx>
            <c:strRef>
              <c:f>Hoja1!$E$44</c:f>
              <c:strCache>
                <c:ptCount val="1"/>
                <c:pt idx="0">
                  <c:v>INGRESANTES INSCRITOS DESAPROBADOS</c:v>
                </c:pt>
              </c:strCache>
            </c:strRef>
          </c:tx>
          <c:spPr>
            <a:solidFill>
              <a:srgbClr val="FF7C8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34D-483F-A570-FA61CA0F602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34D-483F-A570-FA61CA0F602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34D-483F-A570-FA61CA0F602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34D-483F-A570-FA61CA0F602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34D-483F-A570-FA61CA0F602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34D-483F-A570-FA61CA0F602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34D-483F-A570-FA61CA0F602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34D-483F-A570-FA61CA0F60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Hoja1!$B$45:$B$52</c:f>
              <c:strCache>
                <c:ptCount val="8"/>
                <c:pt idx="0">
                  <c:v>MATEMÁTICA</c:v>
                </c:pt>
                <c:pt idx="1">
                  <c:v>COMPRENSIÓN TEXTUAL</c:v>
                </c:pt>
                <c:pt idx="2">
                  <c:v>BIOLOGÍA</c:v>
                </c:pt>
                <c:pt idx="3">
                  <c:v>FÍSICA</c:v>
                </c:pt>
                <c:pt idx="4">
                  <c:v>QUÍMICA</c:v>
                </c:pt>
                <c:pt idx="5">
                  <c:v>ECONOMÍA</c:v>
                </c:pt>
                <c:pt idx="6">
                  <c:v>GEOGRAFÍA</c:v>
                </c:pt>
                <c:pt idx="7">
                  <c:v>HISTORIA DEL PERÚ Y DEL MUNDO</c:v>
                </c:pt>
              </c:strCache>
            </c:strRef>
          </c:cat>
          <c:val>
            <c:numRef>
              <c:f>Hoja1!$E$45:$E$52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4D-483F-A570-FA61CA0F6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6"/>
        <c:overlap val="100"/>
        <c:axId val="906814127"/>
        <c:axId val="906813167"/>
      </c:barChart>
      <c:scatterChart>
        <c:scatterStyle val="lineMarker"/>
        <c:varyColors val="0"/>
        <c:ser>
          <c:idx val="0"/>
          <c:order val="0"/>
          <c:tx>
            <c:strRef>
              <c:f>Hoja1!$C$44</c:f>
              <c:strCache>
                <c:ptCount val="1"/>
                <c:pt idx="0">
                  <c:v>TOTAL INGRESANTES INSCRITOS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0" rIns="38100" bIns="612000" spcCol="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0-3024-4C12-B359-61AAD4F6DD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0" rIns="38100" bIns="612000" spcCol="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Hoja1!$B$45:$B$52</c:f>
              <c:strCache>
                <c:ptCount val="8"/>
                <c:pt idx="0">
                  <c:v>MATEMÁTICA</c:v>
                </c:pt>
                <c:pt idx="1">
                  <c:v>COMPRENSIÓN TEXTUAL</c:v>
                </c:pt>
                <c:pt idx="2">
                  <c:v>BIOLOGÍA</c:v>
                </c:pt>
                <c:pt idx="3">
                  <c:v>FÍSICA</c:v>
                </c:pt>
                <c:pt idx="4">
                  <c:v>QUÍMICA</c:v>
                </c:pt>
                <c:pt idx="5">
                  <c:v>ECONOMÍA</c:v>
                </c:pt>
                <c:pt idx="6">
                  <c:v>GEOGRAFÍA</c:v>
                </c:pt>
                <c:pt idx="7">
                  <c:v>HISTORIA DEL PERÚ Y DEL MUNDO</c:v>
                </c:pt>
              </c:strCache>
            </c:strRef>
          </c:xVal>
          <c:yVal>
            <c:numRef>
              <c:f>Hoja1!$C$45:$C$52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4D-483F-A570-FA61CA0F6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6814127"/>
        <c:axId val="906813167"/>
      </c:scatterChart>
      <c:catAx>
        <c:axId val="90681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06813167"/>
        <c:crosses val="autoZero"/>
        <c:auto val="1"/>
        <c:lblAlgn val="ctr"/>
        <c:lblOffset val="100"/>
        <c:noMultiLvlLbl val="0"/>
      </c:catAx>
      <c:valAx>
        <c:axId val="9068131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0681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Hoja1!$D$76</c:f>
              <c:strCache>
                <c:ptCount val="1"/>
                <c:pt idx="0">
                  <c:v>INGRESANTES INSCRITOS CON &gt;=50% DE ASISTENCIA</c:v>
                </c:pt>
              </c:strCache>
            </c:strRef>
          </c:tx>
          <c:spPr>
            <a:solidFill>
              <a:srgbClr val="6699FF"/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B2A-4651-99ED-7C1A32C9034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B2A-4651-99ED-7C1A32C9034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B2A-4651-99ED-7C1A32C9034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B2A-4651-99ED-7C1A32C9034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B2A-4651-99ED-7C1A32C9034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B2A-4651-99ED-7C1A32C9034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B2A-4651-99ED-7C1A32C9034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B2A-4651-99ED-7C1A32C903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Hoja1!$B$77:$B$84</c:f>
              <c:strCache>
                <c:ptCount val="8"/>
                <c:pt idx="0">
                  <c:v>MATEMÁTICA</c:v>
                </c:pt>
                <c:pt idx="1">
                  <c:v>COMPRENSIÓN TEXTUAL</c:v>
                </c:pt>
                <c:pt idx="2">
                  <c:v>BIOLOGÍA</c:v>
                </c:pt>
                <c:pt idx="3">
                  <c:v>FÍSICA</c:v>
                </c:pt>
                <c:pt idx="4">
                  <c:v>QUÍMICA</c:v>
                </c:pt>
                <c:pt idx="5">
                  <c:v>ECONOMÍA</c:v>
                </c:pt>
                <c:pt idx="6">
                  <c:v>GEOGRAFÍA</c:v>
                </c:pt>
                <c:pt idx="7">
                  <c:v>HISTORIA DEL PERÚ Y DEL MUNDO</c:v>
                </c:pt>
              </c:strCache>
            </c:strRef>
          </c:cat>
          <c:val>
            <c:numRef>
              <c:f>Hoja1!$D$77:$D$84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B2A-4651-99ED-7C1A32C90342}"/>
            </c:ext>
          </c:extLst>
        </c:ser>
        <c:ser>
          <c:idx val="2"/>
          <c:order val="2"/>
          <c:tx>
            <c:strRef>
              <c:f>Hoja1!$E$76</c:f>
              <c:strCache>
                <c:ptCount val="1"/>
                <c:pt idx="0">
                  <c:v>INGRESANTES INSCRITOS CON &lt;50% DE ASISTENCIA</c:v>
                </c:pt>
              </c:strCache>
            </c:strRef>
          </c:tx>
          <c:spPr>
            <a:solidFill>
              <a:srgbClr val="FF7C8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B2A-4651-99ED-7C1A32C9034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B2A-4651-99ED-7C1A32C9034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B2A-4651-99ED-7C1A32C9034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B2A-4651-99ED-7C1A32C9034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B2A-4651-99ED-7C1A32C9034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B2A-4651-99ED-7C1A32C9034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B2A-4651-99ED-7C1A32C9034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B2A-4651-99ED-7C1A32C903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Hoja1!$B$77:$B$84</c:f>
              <c:strCache>
                <c:ptCount val="8"/>
                <c:pt idx="0">
                  <c:v>MATEMÁTICA</c:v>
                </c:pt>
                <c:pt idx="1">
                  <c:v>COMPRENSIÓN TEXTUAL</c:v>
                </c:pt>
                <c:pt idx="2">
                  <c:v>BIOLOGÍA</c:v>
                </c:pt>
                <c:pt idx="3">
                  <c:v>FÍSICA</c:v>
                </c:pt>
                <c:pt idx="4">
                  <c:v>QUÍMICA</c:v>
                </c:pt>
                <c:pt idx="5">
                  <c:v>ECONOMÍA</c:v>
                </c:pt>
                <c:pt idx="6">
                  <c:v>GEOGRAFÍA</c:v>
                </c:pt>
                <c:pt idx="7">
                  <c:v>HISTORIA DEL PERÚ Y DEL MUNDO</c:v>
                </c:pt>
              </c:strCache>
            </c:strRef>
          </c:cat>
          <c:val>
            <c:numRef>
              <c:f>Hoja1!$E$77:$E$84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B2A-4651-99ED-7C1A32C90342}"/>
            </c:ext>
          </c:extLst>
        </c:ser>
        <c:ser>
          <c:idx val="3"/>
          <c:order val="3"/>
          <c:tx>
            <c:strRef>
              <c:f>Hoja1!$F$76</c:f>
              <c:strCache>
                <c:ptCount val="1"/>
                <c:pt idx="0">
                  <c:v>INGRESANTES INSCRITOS CON 0% DE ASISTENCIA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B2A-4651-99ED-7C1A32C9034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B2A-4651-99ED-7C1A32C9034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B2A-4651-99ED-7C1A32C9034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B2A-4651-99ED-7C1A32C9034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B2A-4651-99ED-7C1A32C9034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B2A-4651-99ED-7C1A32C9034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B2A-4651-99ED-7C1A32C9034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B2A-4651-99ED-7C1A32C903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Hoja1!$B$77:$B$84</c:f>
              <c:strCache>
                <c:ptCount val="8"/>
                <c:pt idx="0">
                  <c:v>MATEMÁTICA</c:v>
                </c:pt>
                <c:pt idx="1">
                  <c:v>COMPRENSIÓN TEXTUAL</c:v>
                </c:pt>
                <c:pt idx="2">
                  <c:v>BIOLOGÍA</c:v>
                </c:pt>
                <c:pt idx="3">
                  <c:v>FÍSICA</c:v>
                </c:pt>
                <c:pt idx="4">
                  <c:v>QUÍMICA</c:v>
                </c:pt>
                <c:pt idx="5">
                  <c:v>ECONOMÍA</c:v>
                </c:pt>
                <c:pt idx="6">
                  <c:v>GEOGRAFÍA</c:v>
                </c:pt>
                <c:pt idx="7">
                  <c:v>HISTORIA DEL PERÚ Y DEL MUNDO</c:v>
                </c:pt>
              </c:strCache>
            </c:strRef>
          </c:cat>
          <c:val>
            <c:numRef>
              <c:f>Hoja1!$F$77:$F$84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B2A-4651-99ED-7C1A32C90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6"/>
        <c:overlap val="100"/>
        <c:axId val="906814127"/>
        <c:axId val="906813167"/>
      </c:barChart>
      <c:scatterChart>
        <c:scatterStyle val="lineMarker"/>
        <c:varyColors val="0"/>
        <c:ser>
          <c:idx val="0"/>
          <c:order val="0"/>
          <c:tx>
            <c:strRef>
              <c:f>Hoja1!$C$76</c:f>
              <c:strCache>
                <c:ptCount val="1"/>
                <c:pt idx="0">
                  <c:v>TOTAL INGRESANTES INSCRITOS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0" rIns="0" bIns="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Hoja1!$B$77:$B$84</c:f>
              <c:strCache>
                <c:ptCount val="8"/>
                <c:pt idx="0">
                  <c:v>MATEMÁTICA</c:v>
                </c:pt>
                <c:pt idx="1">
                  <c:v>COMPRENSIÓN TEXTUAL</c:v>
                </c:pt>
                <c:pt idx="2">
                  <c:v>BIOLOGÍA</c:v>
                </c:pt>
                <c:pt idx="3">
                  <c:v>FÍSICA</c:v>
                </c:pt>
                <c:pt idx="4">
                  <c:v>QUÍMICA</c:v>
                </c:pt>
                <c:pt idx="5">
                  <c:v>ECONOMÍA</c:v>
                </c:pt>
                <c:pt idx="6">
                  <c:v>GEOGRAFÍA</c:v>
                </c:pt>
                <c:pt idx="7">
                  <c:v>HISTORIA DEL PERÚ Y DEL MUNDO</c:v>
                </c:pt>
              </c:strCache>
            </c:strRef>
          </c:xVal>
          <c:yVal>
            <c:numRef>
              <c:f>Hoja1!$C$77:$C$84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B2A-4651-99ED-7C1A32C90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6814127"/>
        <c:axId val="906813167"/>
      </c:scatterChart>
      <c:catAx>
        <c:axId val="90681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06813167"/>
        <c:crosses val="autoZero"/>
        <c:auto val="1"/>
        <c:lblAlgn val="ctr"/>
        <c:lblOffset val="100"/>
        <c:noMultiLvlLbl val="0"/>
      </c:catAx>
      <c:valAx>
        <c:axId val="9068131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0681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0"/>
          <c:y val="2.5196846227813881E-2"/>
          <c:w val="1"/>
          <c:h val="0.155763464440702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45357</xdr:colOff>
      <xdr:row>0</xdr:row>
      <xdr:rowOff>43995</xdr:rowOff>
    </xdr:from>
    <xdr:to>
      <xdr:col>0</xdr:col>
      <xdr:colOff>683362</xdr:colOff>
      <xdr:row>2</xdr:row>
      <xdr:rowOff>280770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432A356-BFD3-45D2-9CFA-771AB12D5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57" y="43995"/>
          <a:ext cx="638005" cy="690346"/>
        </a:xfrm>
        <a:prstGeom prst="rect">
          <a:avLst/>
        </a:prstGeom>
      </xdr:spPr>
    </xdr:pic>
    <xdr:clientData/>
  </xdr:twoCellAnchor>
  <xdr:twoCellAnchor>
    <xdr:from>
      <xdr:col>0</xdr:col>
      <xdr:colOff>215446</xdr:colOff>
      <xdr:row>54</xdr:row>
      <xdr:rowOff>65277</xdr:rowOff>
    </xdr:from>
    <xdr:to>
      <xdr:col>5</xdr:col>
      <xdr:colOff>1008465</xdr:colOff>
      <xdr:row>72</xdr:row>
      <xdr:rowOff>170088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B8A74F-B974-3C33-7C33-101D74583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260804</xdr:colOff>
      <xdr:row>86</xdr:row>
      <xdr:rowOff>79376</xdr:rowOff>
    </xdr:from>
    <xdr:to>
      <xdr:col>5</xdr:col>
      <xdr:colOff>1133930</xdr:colOff>
      <xdr:row>104</xdr:row>
      <xdr:rowOff>56697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8469D59-CE26-43C4-83EC-A025C6648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3"/>
  <sheetViews>
    <sheetView tabSelected="1" view="pageBreakPreview" topLeftCell="A16" zoomScaleNormal="100" zoomScaleSheetLayoutView="100" workbookViewId="0">
      <selection activeCell="E40" sqref="E40"/>
    </sheetView>
  </sheetViews>
  <sheetFormatPr baseColWidth="10" defaultRowHeight="14.25"/>
  <cols>
    <col min="1" max="1" width="10.375" customWidth="1"/>
    <col min="2" max="2" width="30.875" customWidth="1"/>
    <col min="3" max="3" width="18.25" customWidth="1"/>
    <col min="4" max="4" width="24.875" customWidth="1"/>
    <col min="5" max="5" width="18.875" customWidth="1"/>
    <col min="6" max="6" width="17.125" customWidth="1"/>
    <col min="8" max="8" width="36.75" customWidth="1"/>
    <col min="9" max="9" width="40.625" customWidth="1"/>
    <col min="10" max="10" width="24.875" customWidth="1"/>
  </cols>
  <sheetData>
    <row r="1" spans="1:6" ht="23.25">
      <c r="A1" s="53"/>
      <c r="B1" s="54" t="s">
        <v>0</v>
      </c>
      <c r="C1" s="55"/>
      <c r="D1" s="55"/>
      <c r="E1" s="55"/>
      <c r="F1" s="56"/>
    </row>
    <row r="2" spans="1:6" ht="12" customHeight="1">
      <c r="A2" s="53"/>
      <c r="B2" s="57" t="s">
        <v>68</v>
      </c>
      <c r="C2" s="58"/>
      <c r="D2" s="58"/>
      <c r="E2" s="58"/>
      <c r="F2" s="59"/>
    </row>
    <row r="3" spans="1:6" ht="26.25" customHeight="1">
      <c r="A3" s="53"/>
      <c r="B3" s="60"/>
      <c r="C3" s="61"/>
      <c r="D3" s="61"/>
      <c r="E3" s="61"/>
      <c r="F3" s="62"/>
    </row>
    <row r="5" spans="1:6" ht="15">
      <c r="B5" s="9" t="s">
        <v>31</v>
      </c>
    </row>
    <row r="7" spans="1:6" ht="15">
      <c r="B7" s="9" t="s">
        <v>33</v>
      </c>
    </row>
    <row r="8" spans="1:6" ht="15">
      <c r="B8" s="9"/>
    </row>
    <row r="9" spans="1:6" ht="15">
      <c r="B9" s="9"/>
      <c r="C9" s="6" t="s">
        <v>56</v>
      </c>
      <c r="D9" s="7"/>
    </row>
    <row r="10" spans="1:6" ht="15">
      <c r="B10" s="9"/>
      <c r="C10" s="6"/>
      <c r="D10" s="7"/>
    </row>
    <row r="11" spans="1:6" ht="22.5" customHeight="1">
      <c r="B11" s="43" t="s">
        <v>44</v>
      </c>
      <c r="C11" s="43" t="s">
        <v>57</v>
      </c>
      <c r="D11" s="43" t="s">
        <v>58</v>
      </c>
      <c r="E11" s="43" t="s">
        <v>59</v>
      </c>
      <c r="F11" s="43" t="s">
        <v>60</v>
      </c>
    </row>
    <row r="12" spans="1:6">
      <c r="B12" s="1" t="s">
        <v>35</v>
      </c>
      <c r="C12" s="34"/>
      <c r="D12" s="33"/>
      <c r="E12" s="34"/>
      <c r="F12" s="33"/>
    </row>
    <row r="13" spans="1:6">
      <c r="B13" s="1" t="s">
        <v>36</v>
      </c>
      <c r="C13" s="34"/>
      <c r="D13" s="33"/>
      <c r="E13" s="34"/>
      <c r="F13" s="33"/>
    </row>
    <row r="14" spans="1:6">
      <c r="B14" s="1" t="s">
        <v>37</v>
      </c>
      <c r="C14" s="34"/>
      <c r="D14" s="33"/>
      <c r="E14" s="34"/>
      <c r="F14" s="33"/>
    </row>
    <row r="15" spans="1:6">
      <c r="B15" s="1" t="s">
        <v>38</v>
      </c>
      <c r="C15" s="34"/>
      <c r="D15" s="33"/>
      <c r="E15" s="34"/>
      <c r="F15" s="33"/>
    </row>
    <row r="16" spans="1:6">
      <c r="B16" s="1" t="s">
        <v>39</v>
      </c>
      <c r="C16" s="34"/>
      <c r="D16" s="33"/>
      <c r="E16" s="34"/>
      <c r="F16" s="33"/>
    </row>
    <row r="17" spans="2:9">
      <c r="B17" s="1" t="s">
        <v>40</v>
      </c>
      <c r="C17" s="34"/>
      <c r="D17" s="33"/>
      <c r="E17" s="34"/>
      <c r="F17" s="33"/>
    </row>
    <row r="18" spans="2:9">
      <c r="B18" s="1" t="s">
        <v>41</v>
      </c>
      <c r="C18" s="34"/>
      <c r="D18" s="33"/>
      <c r="E18" s="34"/>
      <c r="F18" s="33"/>
    </row>
    <row r="19" spans="2:9">
      <c r="B19" s="1" t="s">
        <v>42</v>
      </c>
      <c r="C19" s="34"/>
      <c r="D19" s="33"/>
      <c r="E19" s="34"/>
      <c r="F19" s="33"/>
    </row>
    <row r="20" spans="2:9">
      <c r="B20" s="1" t="s">
        <v>43</v>
      </c>
      <c r="C20" s="34"/>
      <c r="D20" s="33"/>
      <c r="E20" s="34"/>
      <c r="F20" s="33"/>
    </row>
    <row r="22" spans="2:9" ht="15">
      <c r="B22" s="9" t="s">
        <v>32</v>
      </c>
    </row>
    <row r="23" spans="2:9" ht="15">
      <c r="B23" s="9"/>
    </row>
    <row r="24" spans="2:9" ht="15" customHeight="1">
      <c r="B24" s="9"/>
      <c r="C24" s="6" t="s">
        <v>64</v>
      </c>
      <c r="D24" s="7"/>
      <c r="H24" s="2" t="s">
        <v>24</v>
      </c>
      <c r="I24" s="2" t="s">
        <v>25</v>
      </c>
    </row>
    <row r="25" spans="2:9" ht="15">
      <c r="B25" s="35"/>
      <c r="C25" s="36"/>
      <c r="D25" s="36"/>
      <c r="E25" s="37"/>
      <c r="H25" s="4" t="e">
        <f>D45/C45</f>
        <v>#VALUE!</v>
      </c>
      <c r="I25" s="4" t="e">
        <f t="shared" ref="I25:I33" si="0">E45/C45</f>
        <v>#VALUE!</v>
      </c>
    </row>
    <row r="26" spans="2:9" ht="15">
      <c r="B26" s="43" t="s">
        <v>45</v>
      </c>
      <c r="C26" s="44" t="s">
        <v>61</v>
      </c>
      <c r="D26" s="44" t="s">
        <v>62</v>
      </c>
      <c r="E26" s="43" t="s">
        <v>13</v>
      </c>
      <c r="H26" s="4" t="e">
        <f t="shared" ref="H26:H32" si="1">D46/C46</f>
        <v>#VALUE!</v>
      </c>
      <c r="I26" s="4" t="e">
        <f t="shared" si="0"/>
        <v>#VALUE!</v>
      </c>
    </row>
    <row r="27" spans="2:9">
      <c r="B27" s="3" t="s">
        <v>46</v>
      </c>
      <c r="C27" s="1"/>
      <c r="D27" s="1"/>
      <c r="E27" s="34"/>
      <c r="H27" s="4" t="e">
        <f t="shared" si="1"/>
        <v>#VALUE!</v>
      </c>
      <c r="I27" s="4" t="e">
        <f t="shared" si="0"/>
        <v>#VALUE!</v>
      </c>
    </row>
    <row r="28" spans="2:9">
      <c r="B28" s="3" t="s">
        <v>40</v>
      </c>
      <c r="C28" s="1"/>
      <c r="D28" s="1"/>
      <c r="E28" s="34"/>
      <c r="H28" s="4" t="e">
        <f t="shared" si="1"/>
        <v>#VALUE!</v>
      </c>
      <c r="I28" s="4" t="e">
        <f t="shared" si="0"/>
        <v>#VALUE!</v>
      </c>
    </row>
    <row r="29" spans="2:9">
      <c r="B29" s="3" t="s">
        <v>41</v>
      </c>
      <c r="C29" s="1"/>
      <c r="D29" s="1"/>
      <c r="E29" s="34"/>
      <c r="H29" s="4" t="e">
        <f t="shared" si="1"/>
        <v>#VALUE!</v>
      </c>
      <c r="I29" s="4" t="e">
        <f t="shared" si="0"/>
        <v>#VALUE!</v>
      </c>
    </row>
    <row r="30" spans="2:9">
      <c r="B30" s="3" t="s">
        <v>47</v>
      </c>
      <c r="C30" s="1"/>
      <c r="D30" s="1"/>
      <c r="E30" s="34"/>
      <c r="H30" s="4" t="e">
        <f t="shared" si="1"/>
        <v>#VALUE!</v>
      </c>
      <c r="I30" s="4" t="e">
        <f t="shared" si="0"/>
        <v>#VALUE!</v>
      </c>
    </row>
    <row r="31" spans="2:9">
      <c r="B31" s="3" t="s">
        <v>48</v>
      </c>
      <c r="C31" s="1"/>
      <c r="D31" s="1"/>
      <c r="E31" s="34"/>
      <c r="H31" s="4" t="e">
        <f t="shared" si="1"/>
        <v>#VALUE!</v>
      </c>
      <c r="I31" s="4" t="e">
        <f t="shared" si="0"/>
        <v>#VALUE!</v>
      </c>
    </row>
    <row r="32" spans="2:9">
      <c r="B32" s="3" t="s">
        <v>49</v>
      </c>
      <c r="C32" s="1"/>
      <c r="D32" s="1"/>
      <c r="E32" s="34"/>
      <c r="H32" s="4" t="e">
        <f t="shared" si="1"/>
        <v>#VALUE!</v>
      </c>
      <c r="I32" s="4" t="e">
        <f t="shared" si="0"/>
        <v>#VALUE!</v>
      </c>
    </row>
    <row r="33" spans="2:9">
      <c r="B33" s="3" t="s">
        <v>50</v>
      </c>
      <c r="C33" s="1"/>
      <c r="D33" s="1"/>
      <c r="E33" s="34"/>
      <c r="H33" s="4" t="e">
        <f>D53/C53</f>
        <v>#DIV/0!</v>
      </c>
      <c r="I33" s="4" t="e">
        <f t="shared" si="0"/>
        <v>#DIV/0!</v>
      </c>
    </row>
    <row r="34" spans="2:9">
      <c r="B34" s="39" t="s">
        <v>51</v>
      </c>
      <c r="C34" s="1"/>
      <c r="D34" s="1"/>
      <c r="E34" s="34"/>
    </row>
    <row r="35" spans="2:9">
      <c r="B35" s="3" t="s">
        <v>52</v>
      </c>
      <c r="C35" s="1"/>
      <c r="D35" s="1"/>
      <c r="E35" s="34"/>
    </row>
    <row r="36" spans="2:9" ht="28.5">
      <c r="B36" s="39" t="s">
        <v>53</v>
      </c>
      <c r="C36" s="1"/>
      <c r="D36" s="1"/>
      <c r="E36" s="34"/>
    </row>
    <row r="37" spans="2:9">
      <c r="B37" s="3" t="s">
        <v>54</v>
      </c>
      <c r="C37" s="1"/>
      <c r="D37" s="1"/>
      <c r="E37" s="34"/>
    </row>
    <row r="38" spans="2:9">
      <c r="B38" s="3" t="s">
        <v>55</v>
      </c>
      <c r="C38" s="1"/>
      <c r="D38" s="1"/>
      <c r="E38" s="34"/>
    </row>
    <row r="39" spans="2:9" ht="15">
      <c r="B39" s="38" t="s">
        <v>13</v>
      </c>
      <c r="C39" s="1">
        <f>SUM(C27:C38)</f>
        <v>0</v>
      </c>
      <c r="D39" s="1">
        <f>SUM(D27:D38)</f>
        <v>0</v>
      </c>
      <c r="E39" s="34">
        <f>SUM(E27:E38)</f>
        <v>0</v>
      </c>
    </row>
    <row r="40" spans="2:9" ht="15">
      <c r="B40" s="41" t="s">
        <v>63</v>
      </c>
      <c r="D40" s="40"/>
      <c r="E40" s="41"/>
    </row>
    <row r="42" spans="2:9" ht="15">
      <c r="B42" s="6" t="s">
        <v>65</v>
      </c>
      <c r="C42" s="7"/>
      <c r="D42" s="7"/>
      <c r="E42" s="7"/>
    </row>
    <row r="44" spans="2:9" ht="45">
      <c r="B44" s="43" t="s">
        <v>1</v>
      </c>
      <c r="C44" s="44" t="s">
        <v>2</v>
      </c>
      <c r="D44" s="44" t="s">
        <v>3</v>
      </c>
      <c r="E44" s="44" t="s">
        <v>4</v>
      </c>
      <c r="F44" s="50" t="s">
        <v>70</v>
      </c>
    </row>
    <row r="45" spans="2:9">
      <c r="B45" s="3" t="s">
        <v>5</v>
      </c>
      <c r="C45" s="48" t="s">
        <v>69</v>
      </c>
      <c r="D45" s="48" t="s">
        <v>69</v>
      </c>
      <c r="E45" s="48" t="s">
        <v>69</v>
      </c>
      <c r="F45" s="49" t="s">
        <v>69</v>
      </c>
    </row>
    <row r="46" spans="2:9">
      <c r="B46" s="3" t="s">
        <v>6</v>
      </c>
      <c r="C46" s="48" t="s">
        <v>69</v>
      </c>
      <c r="D46" s="48" t="s">
        <v>69</v>
      </c>
      <c r="E46" s="48" t="s">
        <v>69</v>
      </c>
      <c r="F46" s="49" t="s">
        <v>69</v>
      </c>
    </row>
    <row r="47" spans="2:9">
      <c r="B47" s="3" t="s">
        <v>7</v>
      </c>
      <c r="C47" s="48" t="s">
        <v>69</v>
      </c>
      <c r="D47" s="48" t="s">
        <v>69</v>
      </c>
      <c r="E47" s="48" t="s">
        <v>69</v>
      </c>
      <c r="F47" s="49" t="s">
        <v>69</v>
      </c>
    </row>
    <row r="48" spans="2:9">
      <c r="B48" s="3" t="s">
        <v>8</v>
      </c>
      <c r="C48" s="48" t="s">
        <v>69</v>
      </c>
      <c r="D48" s="48" t="s">
        <v>69</v>
      </c>
      <c r="E48" s="48" t="s">
        <v>69</v>
      </c>
      <c r="F48" s="49" t="s">
        <v>69</v>
      </c>
    </row>
    <row r="49" spans="2:6">
      <c r="B49" s="3" t="s">
        <v>9</v>
      </c>
      <c r="C49" s="48" t="s">
        <v>69</v>
      </c>
      <c r="D49" s="48" t="s">
        <v>69</v>
      </c>
      <c r="E49" s="48" t="s">
        <v>69</v>
      </c>
      <c r="F49" s="49" t="s">
        <v>69</v>
      </c>
    </row>
    <row r="50" spans="2:6">
      <c r="B50" s="3" t="s">
        <v>10</v>
      </c>
      <c r="C50" s="48" t="s">
        <v>69</v>
      </c>
      <c r="D50" s="48" t="s">
        <v>69</v>
      </c>
      <c r="E50" s="48" t="s">
        <v>69</v>
      </c>
      <c r="F50" s="49" t="s">
        <v>69</v>
      </c>
    </row>
    <row r="51" spans="2:6">
      <c r="B51" s="3" t="s">
        <v>11</v>
      </c>
      <c r="C51" s="48" t="s">
        <v>69</v>
      </c>
      <c r="D51" s="48" t="s">
        <v>69</v>
      </c>
      <c r="E51" s="48" t="s">
        <v>69</v>
      </c>
      <c r="F51" s="49" t="s">
        <v>69</v>
      </c>
    </row>
    <row r="52" spans="2:6">
      <c r="B52" s="3" t="s">
        <v>12</v>
      </c>
      <c r="C52" s="32" t="s">
        <v>69</v>
      </c>
      <c r="D52" s="48" t="s">
        <v>69</v>
      </c>
      <c r="E52" s="48" t="s">
        <v>69</v>
      </c>
      <c r="F52" s="49" t="s">
        <v>69</v>
      </c>
    </row>
    <row r="53" spans="2:6">
      <c r="B53" s="3" t="s">
        <v>13</v>
      </c>
      <c r="C53" s="3">
        <f>SUM(C45:C52)</f>
        <v>0</v>
      </c>
      <c r="D53" s="3">
        <f>SUM(D45:D52)</f>
        <v>0</v>
      </c>
      <c r="E53" s="3">
        <f>SUM(E45:E52)</f>
        <v>0</v>
      </c>
      <c r="F53" s="3">
        <f>SUM(F45:F52)</f>
        <v>0</v>
      </c>
    </row>
    <row r="54" spans="2:6">
      <c r="B54" s="45"/>
      <c r="C54" s="45"/>
      <c r="D54" s="45"/>
      <c r="E54" s="45"/>
    </row>
    <row r="55" spans="2:6">
      <c r="B55" s="45"/>
      <c r="C55" s="45"/>
      <c r="D55" s="45"/>
      <c r="E55" s="45"/>
    </row>
    <row r="56" spans="2:6">
      <c r="B56" s="45"/>
      <c r="C56" s="45"/>
      <c r="D56" s="45"/>
      <c r="E56" s="45"/>
    </row>
    <row r="57" spans="2:6">
      <c r="B57" s="45"/>
      <c r="C57" s="45"/>
      <c r="D57" s="45"/>
      <c r="E57" s="45"/>
    </row>
    <row r="58" spans="2:6">
      <c r="B58" s="45"/>
      <c r="C58" s="45"/>
      <c r="D58" s="45"/>
      <c r="E58" s="45"/>
    </row>
    <row r="59" spans="2:6">
      <c r="B59" s="45"/>
      <c r="C59" s="45"/>
      <c r="D59" s="45"/>
      <c r="E59" s="45"/>
    </row>
    <row r="60" spans="2:6">
      <c r="B60" s="45"/>
      <c r="C60" s="45"/>
      <c r="D60" s="45"/>
      <c r="E60" s="45"/>
    </row>
    <row r="61" spans="2:6">
      <c r="B61" s="45"/>
      <c r="C61" s="45"/>
      <c r="D61" s="45"/>
      <c r="E61" s="45"/>
    </row>
    <row r="62" spans="2:6">
      <c r="B62" s="45"/>
      <c r="C62" s="45"/>
      <c r="D62" s="45"/>
      <c r="E62" s="45"/>
    </row>
    <row r="63" spans="2:6">
      <c r="B63" s="45"/>
      <c r="C63" s="45"/>
      <c r="D63" s="45"/>
      <c r="E63" s="45"/>
    </row>
    <row r="64" spans="2:6" ht="16.5" customHeight="1"/>
    <row r="74" spans="2:10" ht="15">
      <c r="B74" s="6" t="s">
        <v>66</v>
      </c>
      <c r="C74" s="7"/>
      <c r="D74" s="7"/>
      <c r="E74" s="7"/>
      <c r="F74" s="7"/>
    </row>
    <row r="76" spans="2:10" ht="60">
      <c r="B76" s="43" t="s">
        <v>1</v>
      </c>
      <c r="C76" s="44" t="s">
        <v>2</v>
      </c>
      <c r="D76" s="44" t="s">
        <v>14</v>
      </c>
      <c r="E76" s="44" t="s">
        <v>15</v>
      </c>
      <c r="F76" s="44" t="s">
        <v>16</v>
      </c>
      <c r="H76" s="1" t="s">
        <v>14</v>
      </c>
      <c r="I76" s="1" t="s">
        <v>15</v>
      </c>
      <c r="J76" s="1" t="s">
        <v>16</v>
      </c>
    </row>
    <row r="77" spans="2:10">
      <c r="B77" s="3" t="s">
        <v>5</v>
      </c>
      <c r="C77" s="48" t="s">
        <v>69</v>
      </c>
      <c r="D77" s="48" t="s">
        <v>69</v>
      </c>
      <c r="E77" s="48" t="s">
        <v>69</v>
      </c>
      <c r="F77" s="48" t="s">
        <v>69</v>
      </c>
      <c r="H77" s="5" t="e">
        <f t="shared" ref="H77:H84" si="2">D77/C77</f>
        <v>#VALUE!</v>
      </c>
      <c r="I77" s="5" t="e">
        <f t="shared" ref="I77:I84" si="3">E77/C77</f>
        <v>#VALUE!</v>
      </c>
      <c r="J77" s="5" t="e">
        <f t="shared" ref="J77:J84" si="4">F77/C77</f>
        <v>#VALUE!</v>
      </c>
    </row>
    <row r="78" spans="2:10">
      <c r="B78" s="3" t="s">
        <v>6</v>
      </c>
      <c r="C78" s="48" t="s">
        <v>69</v>
      </c>
      <c r="D78" s="48" t="s">
        <v>69</v>
      </c>
      <c r="E78" s="48" t="s">
        <v>69</v>
      </c>
      <c r="F78" s="48" t="s">
        <v>69</v>
      </c>
      <c r="H78" s="5" t="e">
        <f t="shared" si="2"/>
        <v>#VALUE!</v>
      </c>
      <c r="I78" s="5" t="e">
        <f t="shared" si="3"/>
        <v>#VALUE!</v>
      </c>
      <c r="J78" s="5" t="e">
        <f t="shared" si="4"/>
        <v>#VALUE!</v>
      </c>
    </row>
    <row r="79" spans="2:10">
      <c r="B79" s="3" t="s">
        <v>7</v>
      </c>
      <c r="C79" s="48" t="s">
        <v>69</v>
      </c>
      <c r="D79" s="48" t="s">
        <v>69</v>
      </c>
      <c r="E79" s="48" t="s">
        <v>69</v>
      </c>
      <c r="F79" s="48" t="s">
        <v>69</v>
      </c>
      <c r="H79" s="5" t="e">
        <f t="shared" si="2"/>
        <v>#VALUE!</v>
      </c>
      <c r="I79" s="5" t="e">
        <f t="shared" si="3"/>
        <v>#VALUE!</v>
      </c>
      <c r="J79" s="5" t="e">
        <f t="shared" si="4"/>
        <v>#VALUE!</v>
      </c>
    </row>
    <row r="80" spans="2:10">
      <c r="B80" s="3" t="s">
        <v>8</v>
      </c>
      <c r="C80" s="48" t="s">
        <v>69</v>
      </c>
      <c r="D80" s="48" t="s">
        <v>69</v>
      </c>
      <c r="E80" s="48" t="s">
        <v>69</v>
      </c>
      <c r="F80" s="48" t="s">
        <v>69</v>
      </c>
      <c r="H80" s="5" t="e">
        <f t="shared" si="2"/>
        <v>#VALUE!</v>
      </c>
      <c r="I80" s="5" t="e">
        <f t="shared" si="3"/>
        <v>#VALUE!</v>
      </c>
      <c r="J80" s="5" t="e">
        <f t="shared" si="4"/>
        <v>#VALUE!</v>
      </c>
    </row>
    <row r="81" spans="2:10">
      <c r="B81" s="3" t="s">
        <v>9</v>
      </c>
      <c r="C81" s="48" t="s">
        <v>69</v>
      </c>
      <c r="D81" s="48" t="s">
        <v>69</v>
      </c>
      <c r="E81" s="48" t="s">
        <v>69</v>
      </c>
      <c r="F81" s="48" t="s">
        <v>69</v>
      </c>
      <c r="H81" s="5" t="e">
        <f t="shared" si="2"/>
        <v>#VALUE!</v>
      </c>
      <c r="I81" s="5" t="e">
        <f t="shared" si="3"/>
        <v>#VALUE!</v>
      </c>
      <c r="J81" s="5" t="e">
        <f t="shared" si="4"/>
        <v>#VALUE!</v>
      </c>
    </row>
    <row r="82" spans="2:10">
      <c r="B82" s="3" t="s">
        <v>10</v>
      </c>
      <c r="C82" s="48" t="s">
        <v>69</v>
      </c>
      <c r="D82" s="48" t="s">
        <v>69</v>
      </c>
      <c r="E82" s="48" t="s">
        <v>69</v>
      </c>
      <c r="F82" s="48" t="s">
        <v>69</v>
      </c>
      <c r="H82" s="5" t="e">
        <f t="shared" si="2"/>
        <v>#VALUE!</v>
      </c>
      <c r="I82" s="5" t="e">
        <f t="shared" si="3"/>
        <v>#VALUE!</v>
      </c>
      <c r="J82" s="5" t="e">
        <f t="shared" si="4"/>
        <v>#VALUE!</v>
      </c>
    </row>
    <row r="83" spans="2:10">
      <c r="B83" s="3" t="s">
        <v>11</v>
      </c>
      <c r="C83" s="48" t="s">
        <v>69</v>
      </c>
      <c r="D83" s="48" t="s">
        <v>69</v>
      </c>
      <c r="E83" s="48" t="s">
        <v>69</v>
      </c>
      <c r="F83" s="48" t="s">
        <v>69</v>
      </c>
      <c r="H83" s="5" t="e">
        <f t="shared" si="2"/>
        <v>#VALUE!</v>
      </c>
      <c r="I83" s="5" t="e">
        <f t="shared" si="3"/>
        <v>#VALUE!</v>
      </c>
      <c r="J83" s="5" t="e">
        <f t="shared" si="4"/>
        <v>#VALUE!</v>
      </c>
    </row>
    <row r="84" spans="2:10">
      <c r="B84" s="3" t="s">
        <v>12</v>
      </c>
      <c r="C84" s="48" t="s">
        <v>69</v>
      </c>
      <c r="D84" s="48" t="s">
        <v>69</v>
      </c>
      <c r="E84" s="48" t="s">
        <v>69</v>
      </c>
      <c r="F84" s="48" t="s">
        <v>69</v>
      </c>
      <c r="H84" s="5" t="e">
        <f t="shared" si="2"/>
        <v>#VALUE!</v>
      </c>
      <c r="I84" s="5" t="e">
        <f t="shared" si="3"/>
        <v>#VALUE!</v>
      </c>
      <c r="J84" s="5" t="e">
        <f t="shared" si="4"/>
        <v>#VALUE!</v>
      </c>
    </row>
    <row r="85" spans="2:10">
      <c r="B85" s="3" t="s">
        <v>13</v>
      </c>
      <c r="C85" s="32">
        <f>SUM(C77:C84)</f>
        <v>0</v>
      </c>
      <c r="D85" s="32">
        <f>SUM(D77:D84)</f>
        <v>0</v>
      </c>
      <c r="E85" s="42">
        <f>SUM(E77:E84)</f>
        <v>0</v>
      </c>
      <c r="F85" s="32">
        <f>SUM(F77:F84)</f>
        <v>0</v>
      </c>
    </row>
    <row r="86" spans="2:10">
      <c r="B86" s="45"/>
      <c r="C86" s="46"/>
      <c r="D86" s="46"/>
      <c r="E86" s="47"/>
      <c r="F86" s="46"/>
    </row>
    <row r="103" spans="2:7">
      <c r="G103" t="s">
        <v>23</v>
      </c>
    </row>
    <row r="106" spans="2:7" ht="15">
      <c r="B106" s="8" t="s">
        <v>67</v>
      </c>
      <c r="C106" s="7"/>
      <c r="D106" s="7"/>
      <c r="E106" s="7"/>
      <c r="F106" s="7"/>
    </row>
    <row r="107" spans="2:7" ht="15">
      <c r="B107" s="8"/>
      <c r="C107" s="7"/>
      <c r="D107" s="7"/>
      <c r="E107" s="7"/>
      <c r="F107" s="7"/>
    </row>
    <row r="108" spans="2:7" ht="30">
      <c r="B108" s="44" t="s">
        <v>17</v>
      </c>
      <c r="C108" s="63" t="s">
        <v>18</v>
      </c>
      <c r="D108" s="64"/>
      <c r="E108" s="44" t="s">
        <v>26</v>
      </c>
      <c r="F108" s="44" t="s">
        <v>34</v>
      </c>
    </row>
    <row r="109" spans="2:7" ht="42.75">
      <c r="B109" s="1" t="s">
        <v>19</v>
      </c>
      <c r="C109" s="51" t="s">
        <v>20</v>
      </c>
      <c r="D109" s="52"/>
      <c r="E109" s="31" t="e">
        <f>D53/C53</f>
        <v>#DIV/0!</v>
      </c>
      <c r="F109" s="31"/>
    </row>
    <row r="110" spans="2:7" ht="28.5">
      <c r="B110" s="1" t="s">
        <v>21</v>
      </c>
      <c r="C110" s="51" t="s">
        <v>22</v>
      </c>
      <c r="D110" s="52"/>
      <c r="E110" s="31" t="e">
        <f>D85/C85</f>
        <v>#DIV/0!</v>
      </c>
      <c r="F110" s="31"/>
    </row>
    <row r="112" spans="2:7" ht="15">
      <c r="B112" s="9" t="s">
        <v>27</v>
      </c>
      <c r="F112" s="10"/>
    </row>
    <row r="113" spans="2:6" ht="15">
      <c r="B113" s="9"/>
      <c r="F113" s="10"/>
    </row>
    <row r="114" spans="2:6">
      <c r="B114" s="12" t="s">
        <v>23</v>
      </c>
      <c r="C114" s="13"/>
      <c r="D114" s="13"/>
      <c r="E114" s="13"/>
      <c r="F114" s="14"/>
    </row>
    <row r="115" spans="2:6">
      <c r="B115" s="15"/>
      <c r="C115" s="16"/>
      <c r="D115" s="16"/>
      <c r="E115" s="16"/>
      <c r="F115" s="17"/>
    </row>
    <row r="116" spans="2:6">
      <c r="B116" s="15"/>
      <c r="C116" s="16"/>
      <c r="D116" s="16"/>
      <c r="E116" s="16"/>
      <c r="F116" s="17"/>
    </row>
    <row r="117" spans="2:6">
      <c r="B117" s="15"/>
      <c r="C117" s="16"/>
      <c r="D117" s="16"/>
      <c r="E117" s="16"/>
      <c r="F117" s="17"/>
    </row>
    <row r="118" spans="2:6">
      <c r="B118" s="18"/>
      <c r="C118" s="19"/>
      <c r="D118" s="19"/>
      <c r="E118" s="19"/>
      <c r="F118" s="20"/>
    </row>
    <row r="119" spans="2:6" ht="15" customHeight="1">
      <c r="B119" s="11"/>
      <c r="C119" s="11"/>
      <c r="D119" s="11"/>
      <c r="E119" s="11"/>
      <c r="F119" s="11"/>
    </row>
    <row r="120" spans="2:6" ht="15">
      <c r="B120" s="9" t="s">
        <v>28</v>
      </c>
    </row>
    <row r="121" spans="2:6" ht="15">
      <c r="B121" s="9"/>
    </row>
    <row r="122" spans="2:6">
      <c r="B122" s="21"/>
      <c r="C122" s="22"/>
      <c r="D122" s="22"/>
      <c r="E122" s="22"/>
      <c r="F122" s="23"/>
    </row>
    <row r="123" spans="2:6" ht="15" customHeight="1">
      <c r="B123" s="24"/>
      <c r="C123" s="25"/>
      <c r="D123" s="25"/>
      <c r="E123" s="25"/>
      <c r="F123" s="26"/>
    </row>
    <row r="124" spans="2:6">
      <c r="B124" s="24"/>
      <c r="C124" s="25"/>
      <c r="D124" s="25"/>
      <c r="E124" s="25"/>
      <c r="F124" s="26"/>
    </row>
    <row r="125" spans="2:6">
      <c r="B125" s="24"/>
      <c r="C125" s="25"/>
      <c r="D125" s="25"/>
      <c r="E125" s="25"/>
      <c r="F125" s="26"/>
    </row>
    <row r="126" spans="2:6">
      <c r="B126" s="24"/>
      <c r="C126" s="25"/>
      <c r="D126" s="25"/>
      <c r="E126" s="25"/>
      <c r="F126" s="26"/>
    </row>
    <row r="127" spans="2:6">
      <c r="B127" s="27"/>
      <c r="C127" s="28"/>
      <c r="D127" s="28"/>
      <c r="E127" s="28"/>
      <c r="F127" s="29"/>
    </row>
    <row r="128" spans="2:6">
      <c r="B128" s="25"/>
      <c r="C128" s="25"/>
      <c r="D128" s="25"/>
      <c r="E128" s="25"/>
      <c r="F128" s="25"/>
    </row>
    <row r="129" spans="2:6">
      <c r="B129" s="25"/>
      <c r="C129" s="25"/>
      <c r="D129" s="25"/>
      <c r="E129" s="25"/>
      <c r="F129" s="25"/>
    </row>
    <row r="131" spans="2:6">
      <c r="C131" s="30"/>
      <c r="D131" s="30"/>
      <c r="E131" s="30"/>
    </row>
    <row r="132" spans="2:6">
      <c r="D132" s="10" t="s">
        <v>29</v>
      </c>
    </row>
    <row r="133" spans="2:6">
      <c r="D133" s="10" t="s">
        <v>30</v>
      </c>
    </row>
  </sheetData>
  <mergeCells count="6">
    <mergeCell ref="C110:D110"/>
    <mergeCell ref="A1:A3"/>
    <mergeCell ref="B1:F1"/>
    <mergeCell ref="B2:F3"/>
    <mergeCell ref="C108:D108"/>
    <mergeCell ref="C109:D109"/>
  </mergeCells>
  <pageMargins left="0.70866141732283472" right="0.70866141732283472" top="0.59055118110236227" bottom="0.59055118110236227" header="0.11811023622047245" footer="0.11811023622047245"/>
  <pageSetup paperSize="9" scale="63" orientation="portrait" r:id="rId1"/>
  <rowBreaks count="1" manualBreakCount="1">
    <brk id="73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u201922297 (Vasquez Torreblanca, Diego Joel)</dc:creator>
  <cp:lastModifiedBy>ROGELIO</cp:lastModifiedBy>
  <cp:lastPrinted>2025-03-25T19:20:05Z</cp:lastPrinted>
  <dcterms:created xsi:type="dcterms:W3CDTF">2025-03-17T19:29:11Z</dcterms:created>
  <dcterms:modified xsi:type="dcterms:W3CDTF">2025-04-03T05:54:44Z</dcterms:modified>
</cp:coreProperties>
</file>