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yectos unalm github\lamolina-amauta\src\main\resources\templates\excel\"/>
    </mc:Choice>
  </mc:AlternateContent>
  <bookViews>
    <workbookView xWindow="-105" yWindow="-105" windowWidth="23250" windowHeight="12450"/>
  </bookViews>
  <sheets>
    <sheet name="Hoja1" sheetId="1" r:id="rId1"/>
  </sheets>
  <definedNames>
    <definedName name="_xlnm.Print_Area" localSheetId="0">Hoja1!$A$1:$N$585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8" i="1" l="1"/>
  <c r="Q48" i="1"/>
  <c r="P48" i="1"/>
  <c r="P12" i="1"/>
  <c r="Q12" i="1" l="1"/>
  <c r="P13" i="1"/>
  <c r="K56" i="1"/>
  <c r="L56" i="1"/>
  <c r="M56" i="1"/>
  <c r="J20" i="1"/>
  <c r="K20" i="1"/>
  <c r="L20" i="1"/>
  <c r="R55" i="1" l="1"/>
  <c r="R54" i="1"/>
  <c r="R53" i="1"/>
  <c r="R52" i="1"/>
  <c r="R51" i="1"/>
  <c r="R50" i="1"/>
  <c r="R49" i="1"/>
  <c r="Q55" i="1"/>
  <c r="Q54" i="1"/>
  <c r="Q53" i="1"/>
  <c r="Q52" i="1"/>
  <c r="Q51" i="1"/>
  <c r="Q50" i="1"/>
  <c r="Q49" i="1"/>
  <c r="P49" i="1"/>
  <c r="P50" i="1"/>
  <c r="P51" i="1"/>
  <c r="P52" i="1"/>
  <c r="P53" i="1"/>
  <c r="P54" i="1"/>
  <c r="P55" i="1"/>
  <c r="Q19" i="1"/>
  <c r="Q18" i="1"/>
  <c r="Q17" i="1"/>
  <c r="Q16" i="1"/>
  <c r="Q15" i="1"/>
  <c r="Q14" i="1"/>
  <c r="Q13" i="1"/>
  <c r="P19" i="1"/>
  <c r="P18" i="1"/>
  <c r="P17" i="1"/>
  <c r="P16" i="1"/>
  <c r="P15" i="1"/>
  <c r="P14" i="1"/>
  <c r="P20" i="1" l="1"/>
  <c r="Q20" i="1"/>
</calcChain>
</file>

<file path=xl/sharedStrings.xml><?xml version="1.0" encoding="utf-8"?>
<sst xmlns="http://schemas.openxmlformats.org/spreadsheetml/2006/main" count="51" uniqueCount="36">
  <si>
    <t>DIRECCIÓN DE ESTUDIOS GENERALES</t>
  </si>
  <si>
    <t>TOTAL INGRESANTES INSCRITOS</t>
  </si>
  <si>
    <t>INGRESANTES INSCRITOS APROBADOS</t>
  </si>
  <si>
    <t>INGRESANTES INSCRITOS DESAPROBADOS</t>
  </si>
  <si>
    <t>MATEMÁTICA</t>
  </si>
  <si>
    <t>COMPRENSIÓN TEXTUAL</t>
  </si>
  <si>
    <t>BIOLOGÍA</t>
  </si>
  <si>
    <t>FÍSICA</t>
  </si>
  <si>
    <t>QUÍMICA</t>
  </si>
  <si>
    <t>ECONOMÍA</t>
  </si>
  <si>
    <t>GEOGRAFÍA</t>
  </si>
  <si>
    <t>HISTORIA DEL PERÚ Y DEL MUNDO</t>
  </si>
  <si>
    <t>TOTAL</t>
  </si>
  <si>
    <t>INGRESANTES INSCRITOS CON &gt;=50% DE ASISTENCIA</t>
  </si>
  <si>
    <t>INGRESANTES INSCRITOS CON &lt;50% DE ASISTENCIA</t>
  </si>
  <si>
    <t>INGRESANTES INSCRITOS CON 0% DE ASISTENCIA</t>
  </si>
  <si>
    <t xml:space="preserve"> </t>
  </si>
  <si>
    <t>% INGRESANTES INSCRITOS APROBADOS</t>
  </si>
  <si>
    <t>% INGRESANTES INSCRITOS DESAPROBADOS</t>
  </si>
  <si>
    <t>CARRERA</t>
  </si>
  <si>
    <t>CICLO</t>
  </si>
  <si>
    <t>I. RESULTADOS DE LA NIVELACIÓN DE INGRESANTES</t>
  </si>
  <si>
    <t>INGRESANTE</t>
  </si>
  <si>
    <t>NOTA FINAL</t>
  </si>
  <si>
    <t>CONDICIÓN</t>
  </si>
  <si>
    <t>FACULTAD</t>
  </si>
  <si>
    <t>NOTA INICIAL</t>
  </si>
  <si>
    <t xml:space="preserve"> RESULTADOS DE LA NIVELACIÓN DE INGRESANTES POR CARRERA</t>
  </si>
  <si>
    <t>II. ANÁLISIS DE LOS RESULTADOS DE LA NIVELACIÓN DE INGRESANTES POR CARRERA</t>
  </si>
  <si>
    <t>MATRÍCULA</t>
  </si>
  <si>
    <t xml:space="preserve"> ASISTENCIA</t>
  </si>
  <si>
    <t>DOCENTE</t>
  </si>
  <si>
    <t>CURSO DE NIVELACIÓN</t>
  </si>
  <si>
    <t>CURSOS DE NIVELACIÓN</t>
  </si>
  <si>
    <r>
      <t xml:space="preserve">Cuadro 1. </t>
    </r>
    <r>
      <rPr>
        <sz val="11"/>
        <color theme="1"/>
        <rFont val="Aptos Narrow"/>
        <family val="2"/>
        <scheme val="minor"/>
      </rPr>
      <t>Desempeño de Ingresantes en los cursos de nivelación</t>
    </r>
  </si>
  <si>
    <r>
      <t xml:space="preserve">Cuadro 2. </t>
    </r>
    <r>
      <rPr>
        <sz val="11"/>
        <color theme="1"/>
        <rFont val="Aptos Narrow"/>
        <family val="2"/>
        <scheme val="minor"/>
      </rPr>
      <t>Resumen de Asistencia de Ingresantes Inscritos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</si>
</sst>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\ &quot;*&quot;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left" vertical="top" wrapText="1"/>
    </xf>
    <xf numFmtId="1" fontId="0" fillId="2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9" fontId="2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B3B3"/>
      <color rgb="FFFF7C80"/>
      <color rgb="FFFF8F8F"/>
      <color rgb="FFFCAAA8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Hoja1!$K$11</c:f>
              <c:strCache>
                <c:ptCount val="1"/>
                <c:pt idx="0">
                  <c:v>INGRESANTES INSCRITOS APROBADOS</c:v>
                </c:pt>
              </c:strCache>
            </c:strRef>
          </c:tx>
          <c:spPr>
            <a:solidFill>
              <a:srgbClr val="6699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B260029-9687-4C32-9E54-4FFCF1F1E4E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FE27D86-5CA7-4B3C-A7CA-8A127FE7A8D4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34D-483F-A570-FA61CA0F60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5B0D422-ABCA-45D9-97DC-717588D69F4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1D4D058-B5A5-47FE-A8B3-62FED7C7FE4E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34D-483F-A570-FA61CA0F60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85CBCA6-7980-4BD1-8FCC-FBECCF07715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0830929-8F19-45E9-809D-C051B8EA9813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34D-483F-A570-FA61CA0F60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E9E36F79-2150-4BFE-8355-505DB9BE9F9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909F81E-5580-47BB-BBA1-F0828B7FCFB8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34D-483F-A570-FA61CA0F6023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C31FDB40-C485-4F63-880C-F4FAC5F82F8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37D9DA8-F64E-43F0-9EA3-DDBB584A707F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34D-483F-A570-FA61CA0F6023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1AAFA876-A10E-4672-AE2B-7D3EB3D28AD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0421FBD-F34B-4F89-A0F9-ABA779F710CA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34D-483F-A570-FA61CA0F6023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F0E0A459-0F55-487D-94DF-946555BFF1F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AF84606-5552-49B6-9F08-E4A352CC01E5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34D-483F-A570-FA61CA0F6023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EF5DA372-75D3-4E81-9144-8CD318E2764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CD920D2-91FB-4725-9EE7-777408602A7F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34D-483F-A570-FA61CA0F6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Hoja1!$I$12:$I$19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Hoja1!$K$12:$K$19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Hoja1!$Q$12:$Q$20</c15:f>
                <c15:dlblRangeCache>
                  <c:ptCount val="9"/>
                  <c:pt idx="0">
                    <c:v>40%</c:v>
                  </c:pt>
                  <c:pt idx="1">
                    <c:v>40%</c:v>
                  </c:pt>
                  <c:pt idx="2">
                    <c:v>40%</c:v>
                  </c:pt>
                  <c:pt idx="3">
                    <c:v>40%</c:v>
                  </c:pt>
                  <c:pt idx="4">
                    <c:v>40%</c:v>
                  </c:pt>
                  <c:pt idx="5">
                    <c:v>40%</c:v>
                  </c:pt>
                  <c:pt idx="6">
                    <c:v>40%</c:v>
                  </c:pt>
                  <c:pt idx="7">
                    <c:v>40%</c:v>
                  </c:pt>
                  <c:pt idx="8">
                    <c:v>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34D-483F-A570-FA61CA0F6023}"/>
            </c:ext>
          </c:extLst>
        </c:ser>
        <c:ser>
          <c:idx val="2"/>
          <c:order val="2"/>
          <c:tx>
            <c:strRef>
              <c:f>Hoja1!$L$11</c:f>
              <c:strCache>
                <c:ptCount val="1"/>
                <c:pt idx="0">
                  <c:v>INGRESANTES INSCRITOS DESAPROBADOS</c:v>
                </c:pt>
              </c:strCache>
            </c:strRef>
          </c:tx>
          <c:spPr>
            <a:solidFill>
              <a:srgbClr val="FFB3B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4A46730A-8CA3-41CD-9B0F-2762D54E328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7D1770F-B019-4D97-8CCD-8D19A549C163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34D-483F-A570-FA61CA0F60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E26EEAC-BAC3-4C64-8816-EEE2920DAF0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8F1311C-0645-4221-A005-9BE4E7C586F0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34D-483F-A570-FA61CA0F60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3200BC5-9055-44D6-A384-D26EC6AEB17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FB0A889-C829-4CED-92CD-1DEE69D2B8EE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34D-483F-A570-FA61CA0F60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3BA34A2-522C-430F-8B72-BC109844198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7A8C272-6AA4-483C-92A3-6EEAFFE11686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34D-483F-A570-FA61CA0F6023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BAA6BAD-D8F0-47DF-8EA3-F69B80C57C1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AE4C7DD-3263-4D06-B191-EE5BD9B91FA2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34D-483F-A570-FA61CA0F6023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6766041E-E474-4D1F-A368-3D248247975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78B38E6-870F-41C8-9EDE-62830B48E907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34D-483F-A570-FA61CA0F6023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E351AB24-279E-4F66-AFD7-5AFD4C53D35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2707F7A-8C07-4C13-A00B-9D8AB87AAA36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34D-483F-A570-FA61CA0F6023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8CC5E528-B46F-4A0A-9530-FD82FC7CFA9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5EEA4CF-78C4-4474-868D-7F86DCB0CE52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34D-483F-A570-FA61CA0F6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Hoja1!$I$12:$I$19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Hoja1!$L$12:$L$19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Hoja1!$P$12:$P$20</c15:f>
                <c15:dlblRangeCache>
                  <c:ptCount val="9"/>
                  <c:pt idx="0">
                    <c:v>60%</c:v>
                  </c:pt>
                  <c:pt idx="1">
                    <c:v>60%</c:v>
                  </c:pt>
                  <c:pt idx="2">
                    <c:v>60%</c:v>
                  </c:pt>
                  <c:pt idx="3">
                    <c:v>60%</c:v>
                  </c:pt>
                  <c:pt idx="4">
                    <c:v>60%</c:v>
                  </c:pt>
                  <c:pt idx="5">
                    <c:v>60%</c:v>
                  </c:pt>
                  <c:pt idx="6">
                    <c:v>60%</c:v>
                  </c:pt>
                  <c:pt idx="7">
                    <c:v>60%</c:v>
                  </c:pt>
                  <c:pt idx="8">
                    <c:v>60%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B34D-483F-A570-FA61CA0F6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06814127"/>
        <c:axId val="906813167"/>
      </c:barChart>
      <c:scatterChart>
        <c:scatterStyle val="lineMarker"/>
        <c:varyColors val="0"/>
        <c:ser>
          <c:idx val="0"/>
          <c:order val="0"/>
          <c:tx>
            <c:strRef>
              <c:f>Hoja1!$J$11</c:f>
              <c:strCache>
                <c:ptCount val="1"/>
                <c:pt idx="0">
                  <c:v>TOTAL INGRESANTES INSCRITOS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0" rIns="38100" bIns="612000" spcCol="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024-4C12-B359-61AAD4F6DD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0" rIns="38100" bIns="612000" spcCol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Hoja1!$I$12:$I$19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xVal>
          <c:yVal>
            <c:numRef>
              <c:f>Hoja1!$J$12:$J$19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D-483F-A570-FA61CA0F6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814127"/>
        <c:axId val="906813167"/>
      </c:scatterChart>
      <c:catAx>
        <c:axId val="90681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06813167"/>
        <c:crosses val="autoZero"/>
        <c:auto val="1"/>
        <c:lblAlgn val="ctr"/>
        <c:lblOffset val="100"/>
        <c:noMultiLvlLbl val="0"/>
      </c:catAx>
      <c:valAx>
        <c:axId val="906813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681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086051568810188E-2"/>
          <c:y val="0.14427292791294061"/>
          <c:w val="0.96582789686237958"/>
          <c:h val="0.6644935772536488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Hoja1!$K$45</c:f>
              <c:strCache>
                <c:ptCount val="1"/>
                <c:pt idx="0">
                  <c:v>INGRESANTES INSCRITOS CON &gt;=50% DE ASISTENCIA</c:v>
                </c:pt>
              </c:strCache>
            </c:strRef>
          </c:tx>
          <c:spPr>
            <a:solidFill>
              <a:srgbClr val="6699FF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414479A5-1B4F-44CC-BD84-A6CB1275842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85B2E10-05CA-40C9-A51C-C9FDCCE1AC9C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0BD-4240-91AA-905B007C857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1E3CC7B-9B89-48F8-B3CF-03AFFA0FDF4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D1156DE-D55E-45A6-A4C0-3869F5C7A0B2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0BD-4240-91AA-905B007C857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94BAA6A0-B883-4842-B67B-62FB20F319B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6683EB0-891B-409F-8E53-777EEB4E2D43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0BD-4240-91AA-905B007C857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646C98E-DC92-4DD2-AEBA-3CF2FE6943B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F1CAC19-A844-4CCF-AC81-8FAD48D10927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0BD-4240-91AA-905B007C857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06579B22-2C9B-42D7-AFEA-D4B91EC8DB5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8DFDE26-B515-4C2D-B7C6-E3E3DC98F438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0BD-4240-91AA-905B007C857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6A46DF54-2CBB-4C2F-A457-0CD4B9E6196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6B537F4-28D1-4A10-A77E-2F971D79EC70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0BD-4240-91AA-905B007C8574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27A8E8DE-5202-4F58-B5FE-9E9BB7BA1FE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A7F8359-6CFE-4C27-B94C-BB3A07530B46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0BD-4240-91AA-905B007C8574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25FE532B-5710-469E-9D96-544C0421355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EC953FE-3EAF-42DB-8631-5DAA7202DC54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0BD-4240-91AA-905B007C8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Hoja1!$I$48:$I$55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Hoja1!$K$48:$K$55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Hoja1!$P$48:$P$55</c15:f>
                <c15:dlblRangeCache>
                  <c:ptCount val="8"/>
                  <c:pt idx="0">
                    <c:v>44%</c:v>
                  </c:pt>
                  <c:pt idx="1">
                    <c:v>44%</c:v>
                  </c:pt>
                  <c:pt idx="2">
                    <c:v>44%</c:v>
                  </c:pt>
                  <c:pt idx="3">
                    <c:v>44%</c:v>
                  </c:pt>
                  <c:pt idx="4">
                    <c:v>44%</c:v>
                  </c:pt>
                  <c:pt idx="5">
                    <c:v>44%</c:v>
                  </c:pt>
                  <c:pt idx="6">
                    <c:v>44%</c:v>
                  </c:pt>
                  <c:pt idx="7">
                    <c:v>44%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10BD-4240-91AA-905B007C8574}"/>
            </c:ext>
          </c:extLst>
        </c:ser>
        <c:ser>
          <c:idx val="2"/>
          <c:order val="2"/>
          <c:tx>
            <c:strRef>
              <c:f>Hoja1!$L$45</c:f>
              <c:strCache>
                <c:ptCount val="1"/>
                <c:pt idx="0">
                  <c:v>INGRESANTES INSCRITOS CON &lt;50% DE ASISTENCIA</c:v>
                </c:pt>
              </c:strCache>
            </c:strRef>
          </c:tx>
          <c:spPr>
            <a:solidFill>
              <a:srgbClr val="FFB3B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5A6977CE-AFF4-4B4B-AF2C-FDE4EFD7499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815A565-CA64-4264-8792-9C6C721A5AE2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0BD-4240-91AA-905B007C857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CF21FB6-5517-4D97-BC37-9695DBDA8D3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307E4B4-3AD5-4007-AE88-97963CC758E6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0BD-4240-91AA-905B007C857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47176EF-6805-409C-B742-F5E4C6B3FD4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BD8AFD9-36F9-4286-BE49-F9576D22C17C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0BD-4240-91AA-905B007C857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FF5C87A-D25B-4E8D-9872-88790390130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A3D7BCE-1737-4AC6-8711-C39B296FBB9D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0BD-4240-91AA-905B007C857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6AF8DDB-2913-4417-926E-9E6A82DE057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7EBD266-5C60-4302-8317-BFD47B89472F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0BD-4240-91AA-905B007C857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082B8A6F-8173-4475-A347-A81480234F3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336551E-EB13-4A88-BF2D-DBE97399779B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0BD-4240-91AA-905B007C8574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3EFA1F0F-D0F8-4F73-9242-E370F1927C1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6F63177-BF25-4DB5-8CA5-A4D177AF2339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0BD-4240-91AA-905B007C8574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C62F3EF-3CF0-4ABA-858F-44A73EF62FE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8850A0B-75E8-419F-BA4F-FD17FEF97C4A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0BD-4240-91AA-905B007C85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Hoja1!$I$48:$I$55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Hoja1!$L$48:$L$55</c:f>
              <c:numCache>
                <c:formatCode>0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Hoja1!$Q$48:$Q$55</c15:f>
                <c15:dlblRangeCache>
                  <c:ptCount val="8"/>
                  <c:pt idx="0">
                    <c:v>33%</c:v>
                  </c:pt>
                  <c:pt idx="1">
                    <c:v>33%</c:v>
                  </c:pt>
                  <c:pt idx="2">
                    <c:v>33%</c:v>
                  </c:pt>
                  <c:pt idx="3">
                    <c:v>33%</c:v>
                  </c:pt>
                  <c:pt idx="4">
                    <c:v>33%</c:v>
                  </c:pt>
                  <c:pt idx="5">
                    <c:v>33%</c:v>
                  </c:pt>
                  <c:pt idx="6">
                    <c:v>33%</c:v>
                  </c:pt>
                  <c:pt idx="7">
                    <c:v>33%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10BD-4240-91AA-905B007C8574}"/>
            </c:ext>
          </c:extLst>
        </c:ser>
        <c:ser>
          <c:idx val="3"/>
          <c:order val="3"/>
          <c:tx>
            <c:strRef>
              <c:f>Hoja1!$M$45</c:f>
              <c:strCache>
                <c:ptCount val="1"/>
                <c:pt idx="0">
                  <c:v>INGRESANTES INSCRITOS CON 0% DE ASISTENCIA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6A965B5E-1589-4F29-96F3-6955A6BFD88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F89D29F-E2A8-49C9-9E69-DC650F8F293C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0BD-4240-91AA-905B007C857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0FE56922-F0DE-4DE9-84DD-F305AB95E04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BB0B6E0-057B-4F6F-9E8D-95FD90FC9F27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0BD-4240-91AA-905B007C857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E6B2250B-43A6-4BB2-A02D-1B40825C6BC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323475E-ACB9-47EB-8505-420368E3E02C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0BD-4240-91AA-905B007C857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585E4CE-1848-4B06-BAD0-433D73E5501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B3BC995-4A57-435A-B8E4-0C0A3D9694A5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0BD-4240-91AA-905B007C857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7EDA6C50-E2AD-46D8-9D43-BC4900DAAB1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23170F9-3C05-4DF5-8A0A-0362F87BB262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0BD-4240-91AA-905B007C857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31CEF798-DD6D-4FC7-BBD9-75AF12F511B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FBDD10F-1578-40C8-B904-D71D5AAA9398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0BD-4240-91AA-905B007C8574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8193F521-CE93-4BE0-AD67-18FB4EDC91C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50EFA1A-1944-4BEC-9E0F-C6153538C72B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0BD-4240-91AA-905B007C8574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56BEFB9E-7AF5-4F5F-B207-C0F1A74FC0F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D61EE47-4B1A-4753-8E10-E7EC46277446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0BD-4240-91AA-905B007C8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Hoja1!$I$48:$I$55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Hoja1!$M$48:$M$55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Hoja1!$R$48:$R$55</c15:f>
                <c15:dlblRangeCache>
                  <c:ptCount val="8"/>
                  <c:pt idx="0">
                    <c:v>22%</c:v>
                  </c:pt>
                  <c:pt idx="1">
                    <c:v>22%</c:v>
                  </c:pt>
                  <c:pt idx="2">
                    <c:v>22%</c:v>
                  </c:pt>
                  <c:pt idx="3">
                    <c:v>22%</c:v>
                  </c:pt>
                  <c:pt idx="4">
                    <c:v>22%</c:v>
                  </c:pt>
                  <c:pt idx="5">
                    <c:v>22%</c:v>
                  </c:pt>
                  <c:pt idx="6">
                    <c:v>22%</c:v>
                  </c:pt>
                  <c:pt idx="7">
                    <c:v>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10BD-4240-91AA-905B007C8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06814127"/>
        <c:axId val="906813167"/>
      </c:barChart>
      <c:scatterChart>
        <c:scatterStyle val="lineMarker"/>
        <c:varyColors val="0"/>
        <c:ser>
          <c:idx val="0"/>
          <c:order val="0"/>
          <c:tx>
            <c:strRef>
              <c:f>Hoja1!$J$45</c:f>
              <c:strCache>
                <c:ptCount val="1"/>
                <c:pt idx="0">
                  <c:v>TOTAL INGRESANTES INSCRITOS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Hoja1!$I$48:$I$55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xVal>
          <c:yVal>
            <c:numRef>
              <c:f>Hoja1!$J$48:$J$55</c:f>
              <c:numCache>
                <c:formatCode>General</c:formatCode>
                <c:ptCount val="8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0BD-4240-91AA-905B007C8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814127"/>
        <c:axId val="906813167"/>
      </c:scatterChart>
      <c:catAx>
        <c:axId val="90681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06813167"/>
        <c:crosses val="autoZero"/>
        <c:auto val="1"/>
        <c:lblAlgn val="ctr"/>
        <c:lblOffset val="100"/>
        <c:noMultiLvlLbl val="0"/>
      </c:catAx>
      <c:valAx>
        <c:axId val="906813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681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"/>
          <c:y val="2.5196936135933136E-2"/>
          <c:w val="1"/>
          <c:h val="0.15576346444070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98697</xdr:colOff>
      <xdr:row>0</xdr:row>
      <xdr:rowOff>30481</xdr:rowOff>
    </xdr:from>
    <xdr:to>
      <xdr:col>0</xdr:col>
      <xdr:colOff>756348</xdr:colOff>
      <xdr:row>2</xdr:row>
      <xdr:rowOff>288391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32A356-BFD3-45D2-9CFA-771AB12D5083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97" y="30481"/>
          <a:ext cx="657651" cy="707490"/>
        </a:xfrm>
        <a:prstGeom prst="rect">
          <a:avLst/>
        </a:prstGeom>
      </xdr:spPr>
    </xdr:pic>
    <xdr:clientData/>
  </xdr:twoCellAnchor>
  <xdr:twoCellAnchor>
    <xdr:from>
      <xdr:col>8</xdr:col>
      <xdr:colOff>135164</xdr:colOff>
      <xdr:row>20</xdr:row>
      <xdr:rowOff>178670</xdr:rowOff>
    </xdr:from>
    <xdr:to>
      <xdr:col>12</xdr:col>
      <xdr:colOff>331470</xdr:colOff>
      <xdr:row>39</xdr:row>
      <xdr:rowOff>90713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B8A74F-B974-3C33-7C33-101D74583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</xdr:colOff>
      <xdr:row>57</xdr:row>
      <xdr:rowOff>182790</xdr:rowOff>
    </xdr:from>
    <xdr:to>
      <xdr:col>13</xdr:col>
      <xdr:colOff>419099</xdr:colOff>
      <xdr:row>75</xdr:row>
      <xdr:rowOff>169999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69D59-CE26-43C4-83EC-A025C6648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tabSelected="1" view="pageBreakPreview" topLeftCell="A20" zoomScale="70" zoomScaleNormal="100" zoomScaleSheetLayoutView="70" zoomScalePageLayoutView="40" workbookViewId="0">
      <selection activeCell="I48" sqref="I48:I55"/>
    </sheetView>
  </sheetViews>
  <sheetFormatPr baseColWidth="10" defaultRowHeight="14.25"/>
  <cols>
    <col min="1" max="1" width="13" customWidth="1"/>
    <col min="2" max="2" width="29" customWidth="1"/>
    <col min="3" max="3" width="18.375" customWidth="1"/>
    <col min="4" max="4" width="14.5" customWidth="1"/>
    <col min="5" max="5" width="15.5" customWidth="1"/>
    <col min="6" max="6" width="17.125" customWidth="1"/>
    <col min="7" max="7" width="13.5" customWidth="1"/>
    <col min="8" max="8" width="36.625" customWidth="1"/>
    <col min="9" max="9" width="40.5" customWidth="1"/>
    <col min="10" max="10" width="23.5" customWidth="1"/>
    <col min="11" max="11" width="21.625" customWidth="1"/>
    <col min="12" max="12" width="20.25" customWidth="1"/>
    <col min="13" max="13" width="23.375" customWidth="1"/>
    <col min="16" max="16" width="20.75" customWidth="1"/>
    <col min="17" max="17" width="26.75" customWidth="1"/>
    <col min="18" max="18" width="19.125" customWidth="1"/>
  </cols>
  <sheetData>
    <row r="1" spans="1:17" ht="23.25">
      <c r="A1" s="58"/>
      <c r="B1" s="56" t="s">
        <v>0</v>
      </c>
      <c r="C1" s="56"/>
      <c r="D1" s="56"/>
      <c r="E1" s="56"/>
      <c r="F1" s="56"/>
      <c r="G1" s="56"/>
      <c r="H1" s="56"/>
    </row>
    <row r="2" spans="1:17" ht="12" customHeight="1">
      <c r="A2" s="58"/>
      <c r="B2" s="57" t="s">
        <v>27</v>
      </c>
      <c r="C2" s="57"/>
      <c r="D2" s="57"/>
      <c r="E2" s="57"/>
      <c r="F2" s="57"/>
      <c r="G2" s="57"/>
      <c r="H2" s="57"/>
    </row>
    <row r="3" spans="1:17" ht="26.25" customHeight="1">
      <c r="A3" s="58"/>
      <c r="B3" s="57"/>
      <c r="C3" s="57"/>
      <c r="D3" s="57"/>
      <c r="E3" s="57"/>
      <c r="F3" s="57"/>
      <c r="G3" s="57"/>
      <c r="H3" s="57"/>
    </row>
    <row r="5" spans="1:17" ht="15">
      <c r="A5" s="21" t="s">
        <v>20</v>
      </c>
      <c r="B5" s="22"/>
      <c r="C5" s="9"/>
      <c r="D5" s="23"/>
      <c r="E5" s="24"/>
      <c r="F5" s="25"/>
      <c r="G5" s="9"/>
      <c r="I5" s="55" t="s">
        <v>28</v>
      </c>
      <c r="J5" s="55"/>
      <c r="K5" s="55"/>
      <c r="L5" s="55"/>
    </row>
    <row r="6" spans="1:17" ht="15">
      <c r="A6" s="13" t="s">
        <v>25</v>
      </c>
      <c r="B6" s="22"/>
      <c r="C6" s="9"/>
      <c r="D6" s="23"/>
      <c r="E6" s="24"/>
      <c r="F6" s="25"/>
      <c r="G6" s="9"/>
    </row>
    <row r="7" spans="1:17" ht="15">
      <c r="A7" s="21" t="s">
        <v>19</v>
      </c>
      <c r="B7" s="22"/>
      <c r="C7" s="9"/>
      <c r="D7" s="23"/>
      <c r="E7" s="24"/>
      <c r="F7" s="25"/>
      <c r="G7" s="9"/>
    </row>
    <row r="8" spans="1:17" ht="15">
      <c r="A8" s="21"/>
      <c r="B8" s="22"/>
      <c r="C8" s="9"/>
      <c r="D8" s="23"/>
      <c r="E8" s="24"/>
      <c r="F8" s="25"/>
      <c r="G8" s="9"/>
    </row>
    <row r="9" spans="1:17" ht="15">
      <c r="A9" s="21" t="s">
        <v>21</v>
      </c>
      <c r="B9" s="22"/>
      <c r="C9" s="9"/>
      <c r="D9" s="23"/>
      <c r="E9" s="24"/>
      <c r="F9" s="25"/>
      <c r="G9" s="9"/>
      <c r="I9" s="55" t="s">
        <v>34</v>
      </c>
      <c r="J9" s="55"/>
      <c r="K9" s="55"/>
      <c r="L9" s="55"/>
    </row>
    <row r="10" spans="1:17" ht="15.75">
      <c r="A10" s="26"/>
      <c r="B10" s="27"/>
      <c r="C10" s="9"/>
      <c r="D10" s="23"/>
      <c r="E10" s="24"/>
      <c r="F10" s="25"/>
      <c r="G10" s="9"/>
    </row>
    <row r="11" spans="1:17" ht="45">
      <c r="A11" s="15" t="s">
        <v>29</v>
      </c>
      <c r="B11" s="16" t="s">
        <v>22</v>
      </c>
      <c r="C11" s="16" t="s">
        <v>32</v>
      </c>
      <c r="D11" s="48" t="s">
        <v>26</v>
      </c>
      <c r="E11" s="49" t="s">
        <v>23</v>
      </c>
      <c r="F11" s="32" t="s">
        <v>24</v>
      </c>
      <c r="G11" s="16" t="s">
        <v>30</v>
      </c>
      <c r="H11" s="15" t="s">
        <v>31</v>
      </c>
      <c r="I11" s="50" t="s">
        <v>32</v>
      </c>
      <c r="J11" s="16" t="s">
        <v>1</v>
      </c>
      <c r="K11" s="16" t="s">
        <v>2</v>
      </c>
      <c r="L11" s="16" t="s">
        <v>3</v>
      </c>
      <c r="P11" s="2" t="s">
        <v>17</v>
      </c>
      <c r="Q11" s="2" t="s">
        <v>18</v>
      </c>
    </row>
    <row r="12" spans="1:17" ht="14.45" customHeight="1">
      <c r="A12" s="28"/>
      <c r="B12" s="1"/>
      <c r="C12" s="28"/>
      <c r="D12" s="29"/>
      <c r="E12" s="10"/>
      <c r="F12" s="10"/>
      <c r="G12" s="30"/>
      <c r="H12" s="12"/>
      <c r="I12" s="51" t="s">
        <v>4</v>
      </c>
      <c r="J12" s="11">
        <v>10</v>
      </c>
      <c r="K12" s="11">
        <v>6</v>
      </c>
      <c r="L12" s="11">
        <v>4</v>
      </c>
      <c r="P12" s="4">
        <f t="shared" ref="P12:P20" si="0">K12/J12</f>
        <v>0.6</v>
      </c>
      <c r="Q12" s="4">
        <f t="shared" ref="Q12:Q20" si="1">L12/J12</f>
        <v>0.4</v>
      </c>
    </row>
    <row r="13" spans="1:17">
      <c r="A13" s="28"/>
      <c r="B13" s="1"/>
      <c r="C13" s="28"/>
      <c r="D13" s="29"/>
      <c r="E13" s="10"/>
      <c r="F13" s="10"/>
      <c r="G13" s="30"/>
      <c r="H13" s="12"/>
      <c r="I13" s="51" t="s">
        <v>5</v>
      </c>
      <c r="J13" s="11">
        <v>10</v>
      </c>
      <c r="K13" s="11">
        <v>6</v>
      </c>
      <c r="L13" s="11">
        <v>4</v>
      </c>
      <c r="P13" s="4">
        <f t="shared" si="0"/>
        <v>0.6</v>
      </c>
      <c r="Q13" s="4">
        <f t="shared" si="1"/>
        <v>0.4</v>
      </c>
    </row>
    <row r="14" spans="1:17">
      <c r="A14" s="28"/>
      <c r="B14" s="1"/>
      <c r="C14" s="28"/>
      <c r="D14" s="29"/>
      <c r="E14" s="10"/>
      <c r="F14" s="10"/>
      <c r="G14" s="30"/>
      <c r="H14" s="12"/>
      <c r="I14" s="51" t="s">
        <v>6</v>
      </c>
      <c r="J14" s="11">
        <v>10</v>
      </c>
      <c r="K14" s="11">
        <v>6</v>
      </c>
      <c r="L14" s="11">
        <v>4</v>
      </c>
      <c r="P14" s="4">
        <f t="shared" si="0"/>
        <v>0.6</v>
      </c>
      <c r="Q14" s="4">
        <f t="shared" si="1"/>
        <v>0.4</v>
      </c>
    </row>
    <row r="15" spans="1:17">
      <c r="A15" s="28"/>
      <c r="B15" s="1"/>
      <c r="C15" s="28"/>
      <c r="D15" s="29"/>
      <c r="E15" s="10"/>
      <c r="F15" s="10"/>
      <c r="G15" s="30"/>
      <c r="H15" s="12"/>
      <c r="I15" s="51" t="s">
        <v>7</v>
      </c>
      <c r="J15" s="11">
        <v>10</v>
      </c>
      <c r="K15" s="11">
        <v>6</v>
      </c>
      <c r="L15" s="11">
        <v>4</v>
      </c>
      <c r="P15" s="4">
        <f t="shared" si="0"/>
        <v>0.6</v>
      </c>
      <c r="Q15" s="4">
        <f t="shared" si="1"/>
        <v>0.4</v>
      </c>
    </row>
    <row r="16" spans="1:17">
      <c r="A16" s="28"/>
      <c r="B16" s="1"/>
      <c r="C16" s="28"/>
      <c r="D16" s="29"/>
      <c r="E16" s="10"/>
      <c r="F16" s="10"/>
      <c r="G16" s="30"/>
      <c r="H16" s="12"/>
      <c r="I16" s="51" t="s">
        <v>8</v>
      </c>
      <c r="J16" s="11">
        <v>10</v>
      </c>
      <c r="K16" s="11">
        <v>6</v>
      </c>
      <c r="L16" s="11">
        <v>4</v>
      </c>
      <c r="P16" s="4">
        <f t="shared" si="0"/>
        <v>0.6</v>
      </c>
      <c r="Q16" s="4">
        <f t="shared" si="1"/>
        <v>0.4</v>
      </c>
    </row>
    <row r="17" spans="1:17">
      <c r="A17" s="28"/>
      <c r="B17" s="1"/>
      <c r="C17" s="28"/>
      <c r="D17" s="29"/>
      <c r="E17" s="10"/>
      <c r="F17" s="10"/>
      <c r="G17" s="30"/>
      <c r="H17" s="12"/>
      <c r="I17" s="51" t="s">
        <v>9</v>
      </c>
      <c r="J17" s="11">
        <v>10</v>
      </c>
      <c r="K17" s="11">
        <v>6</v>
      </c>
      <c r="L17" s="11">
        <v>4</v>
      </c>
      <c r="P17" s="4">
        <f t="shared" si="0"/>
        <v>0.6</v>
      </c>
      <c r="Q17" s="4">
        <f t="shared" si="1"/>
        <v>0.4</v>
      </c>
    </row>
    <row r="18" spans="1:17">
      <c r="A18" s="28"/>
      <c r="B18" s="1"/>
      <c r="C18" s="28"/>
      <c r="D18" s="29"/>
      <c r="E18" s="10"/>
      <c r="F18" s="10"/>
      <c r="G18" s="30"/>
      <c r="H18" s="12"/>
      <c r="I18" s="51" t="s">
        <v>10</v>
      </c>
      <c r="J18" s="11">
        <v>10</v>
      </c>
      <c r="K18" s="11">
        <v>6</v>
      </c>
      <c r="L18" s="11">
        <v>4</v>
      </c>
      <c r="P18" s="4">
        <f t="shared" si="0"/>
        <v>0.6</v>
      </c>
      <c r="Q18" s="4">
        <f t="shared" si="1"/>
        <v>0.4</v>
      </c>
    </row>
    <row r="19" spans="1:17">
      <c r="A19" s="28"/>
      <c r="B19" s="1"/>
      <c r="C19" s="28"/>
      <c r="D19" s="29"/>
      <c r="E19" s="10"/>
      <c r="F19" s="10"/>
      <c r="G19" s="30"/>
      <c r="H19" s="12"/>
      <c r="I19" s="51" t="s">
        <v>11</v>
      </c>
      <c r="J19" s="11">
        <v>10</v>
      </c>
      <c r="K19" s="11">
        <v>6</v>
      </c>
      <c r="L19" s="11">
        <v>4</v>
      </c>
      <c r="P19" s="4">
        <f t="shared" si="0"/>
        <v>0.6</v>
      </c>
      <c r="Q19" s="4">
        <f t="shared" si="1"/>
        <v>0.4</v>
      </c>
    </row>
    <row r="20" spans="1:17">
      <c r="A20" s="28"/>
      <c r="B20" s="1"/>
      <c r="C20" s="28"/>
      <c r="D20" s="29"/>
      <c r="E20" s="10"/>
      <c r="F20" s="10"/>
      <c r="G20" s="30"/>
      <c r="H20" s="12"/>
      <c r="I20" s="51" t="s">
        <v>12</v>
      </c>
      <c r="J20" s="3">
        <f>SUM(J12:J19)</f>
        <v>80</v>
      </c>
      <c r="K20" s="3">
        <f>SUM(K12:K19)</f>
        <v>48</v>
      </c>
      <c r="L20" s="3">
        <f>SUM(L12:L19)</f>
        <v>32</v>
      </c>
      <c r="P20" s="4">
        <f t="shared" si="0"/>
        <v>0.6</v>
      </c>
      <c r="Q20" s="4">
        <f t="shared" si="1"/>
        <v>0.4</v>
      </c>
    </row>
    <row r="21" spans="1:17">
      <c r="A21" s="28"/>
      <c r="B21" s="1"/>
      <c r="C21" s="28"/>
      <c r="D21" s="29"/>
      <c r="E21" s="10"/>
      <c r="F21" s="10"/>
      <c r="G21" s="30"/>
      <c r="H21" s="12"/>
    </row>
    <row r="22" spans="1:17">
      <c r="A22" s="33"/>
      <c r="B22" s="34"/>
      <c r="C22" s="33"/>
      <c r="D22" s="35"/>
      <c r="E22" s="36"/>
      <c r="F22" s="36"/>
      <c r="G22" s="33"/>
      <c r="H22" s="37"/>
    </row>
    <row r="23" spans="1:17" ht="15" customHeight="1">
      <c r="A23" s="33"/>
      <c r="B23" s="34"/>
      <c r="C23" s="33"/>
      <c r="D23" s="35"/>
      <c r="E23" s="36"/>
      <c r="F23" s="36"/>
      <c r="G23" s="33"/>
      <c r="H23" s="37"/>
    </row>
    <row r="24" spans="1:17">
      <c r="A24" s="33"/>
      <c r="B24" s="34"/>
      <c r="C24" s="33"/>
      <c r="D24" s="35"/>
      <c r="E24" s="36"/>
      <c r="F24" s="36"/>
      <c r="G24" s="33"/>
      <c r="H24" s="37"/>
    </row>
    <row r="25" spans="1:17" ht="15" customHeight="1">
      <c r="A25" s="33"/>
      <c r="B25" s="34"/>
      <c r="C25" s="33"/>
      <c r="D25" s="35"/>
      <c r="E25" s="36"/>
      <c r="F25" s="36"/>
      <c r="G25" s="33"/>
      <c r="H25" s="37"/>
    </row>
    <row r="26" spans="1:17" ht="15">
      <c r="A26" s="37"/>
      <c r="B26" s="38"/>
      <c r="C26" s="39"/>
      <c r="D26" s="39"/>
      <c r="E26" s="40"/>
      <c r="F26" s="37"/>
      <c r="G26" s="37"/>
      <c r="H26" s="37"/>
    </row>
    <row r="27" spans="1:17" ht="15">
      <c r="A27" s="37"/>
      <c r="B27" s="41"/>
      <c r="C27" s="42"/>
      <c r="D27" s="42"/>
      <c r="E27" s="41"/>
      <c r="F27" s="37"/>
      <c r="G27" s="37"/>
      <c r="H27" s="37"/>
    </row>
    <row r="28" spans="1:17">
      <c r="A28" s="37"/>
      <c r="B28" s="11"/>
      <c r="C28" s="34"/>
      <c r="D28" s="34"/>
      <c r="E28" s="37"/>
      <c r="F28" s="37"/>
      <c r="G28" s="37"/>
      <c r="H28" s="37"/>
    </row>
    <row r="29" spans="1:17">
      <c r="A29" s="37"/>
      <c r="B29" s="11"/>
      <c r="C29" s="34"/>
      <c r="D29" s="34"/>
      <c r="E29" s="37"/>
      <c r="F29" s="37"/>
      <c r="G29" s="37"/>
      <c r="H29" s="37"/>
    </row>
    <row r="30" spans="1:17">
      <c r="A30" s="37"/>
      <c r="B30" s="11"/>
      <c r="C30" s="34"/>
      <c r="D30" s="34"/>
      <c r="E30" s="37"/>
      <c r="F30" s="37"/>
      <c r="G30" s="37"/>
      <c r="H30" s="37"/>
    </row>
    <row r="31" spans="1:17">
      <c r="A31" s="37"/>
      <c r="B31" s="11"/>
      <c r="C31" s="34"/>
      <c r="D31" s="34"/>
      <c r="E31" s="37"/>
      <c r="F31" s="37"/>
      <c r="G31" s="37"/>
      <c r="H31" s="37"/>
    </row>
    <row r="32" spans="1:17">
      <c r="A32" s="37"/>
      <c r="B32" s="11"/>
      <c r="C32" s="34"/>
      <c r="D32" s="34"/>
      <c r="E32" s="37"/>
      <c r="F32" s="37"/>
      <c r="G32" s="37"/>
      <c r="H32" s="37"/>
    </row>
    <row r="33" spans="1:18">
      <c r="A33" s="37"/>
      <c r="B33" s="11"/>
      <c r="C33" s="34"/>
      <c r="D33" s="34"/>
      <c r="E33" s="37"/>
      <c r="F33" s="37"/>
      <c r="G33" s="37"/>
      <c r="H33" s="37"/>
    </row>
    <row r="34" spans="1:18">
      <c r="A34" s="37"/>
      <c r="B34" s="11"/>
      <c r="C34" s="34"/>
      <c r="D34" s="34"/>
      <c r="E34" s="37"/>
      <c r="F34" s="37"/>
      <c r="G34" s="37"/>
      <c r="H34" s="37"/>
    </row>
    <row r="35" spans="1:18">
      <c r="A35" s="37"/>
      <c r="B35" s="43"/>
      <c r="C35" s="34"/>
      <c r="D35" s="34"/>
      <c r="E35" s="37"/>
      <c r="F35" s="37"/>
      <c r="G35" s="37"/>
      <c r="H35" s="37"/>
    </row>
    <row r="36" spans="1:18">
      <c r="A36" s="37"/>
      <c r="B36" s="11"/>
      <c r="C36" s="34"/>
      <c r="D36" s="34"/>
      <c r="E36" s="37"/>
      <c r="F36" s="37"/>
      <c r="G36" s="37"/>
      <c r="H36" s="37"/>
    </row>
    <row r="37" spans="1:18">
      <c r="A37" s="37"/>
      <c r="B37" s="43"/>
      <c r="C37" s="34"/>
      <c r="D37" s="34"/>
      <c r="E37" s="37"/>
      <c r="F37" s="37"/>
      <c r="G37" s="37"/>
      <c r="H37" s="37"/>
    </row>
    <row r="38" spans="1:18">
      <c r="A38" s="37"/>
      <c r="B38" s="11"/>
      <c r="C38" s="34"/>
      <c r="D38" s="34"/>
      <c r="E38" s="37"/>
      <c r="F38" s="37"/>
      <c r="G38" s="37"/>
      <c r="H38" s="37"/>
    </row>
    <row r="39" spans="1:18">
      <c r="A39" s="37"/>
      <c r="B39" s="11"/>
      <c r="C39" s="34"/>
      <c r="D39" s="34"/>
      <c r="E39" s="37"/>
      <c r="F39" s="37"/>
      <c r="G39" s="37"/>
      <c r="H39" s="37"/>
    </row>
    <row r="40" spans="1:18" ht="15">
      <c r="A40" s="37"/>
      <c r="B40" s="38"/>
      <c r="C40" s="34"/>
      <c r="D40" s="34"/>
      <c r="E40" s="37"/>
      <c r="F40" s="37"/>
      <c r="G40" s="37"/>
      <c r="H40" s="37"/>
    </row>
    <row r="41" spans="1:18" ht="15">
      <c r="A41" s="37"/>
      <c r="B41" s="38"/>
      <c r="C41" s="34"/>
      <c r="D41" s="34"/>
      <c r="E41" s="37"/>
      <c r="F41" s="37"/>
      <c r="G41" s="37"/>
      <c r="H41" s="37"/>
    </row>
    <row r="42" spans="1:18" ht="15">
      <c r="A42" s="37"/>
      <c r="B42" s="38"/>
      <c r="C42" s="34"/>
      <c r="D42" s="34"/>
      <c r="E42" s="37"/>
      <c r="F42" s="37"/>
      <c r="G42" s="37"/>
      <c r="H42" s="37"/>
      <c r="I42" s="59" t="s">
        <v>35</v>
      </c>
      <c r="J42" s="55"/>
      <c r="K42" s="55"/>
      <c r="L42" s="55"/>
      <c r="M42" s="55"/>
    </row>
    <row r="43" spans="1:18" ht="15">
      <c r="A43" s="37"/>
      <c r="B43" s="38"/>
      <c r="C43" s="34"/>
      <c r="D43" s="34"/>
      <c r="E43" s="37"/>
      <c r="F43" s="37"/>
      <c r="G43" s="37"/>
      <c r="H43" s="37"/>
      <c r="I43" s="53"/>
      <c r="J43" s="52"/>
      <c r="K43" s="52"/>
      <c r="L43" s="52"/>
      <c r="M43" s="52"/>
    </row>
    <row r="44" spans="1:18" ht="15">
      <c r="A44" s="37"/>
      <c r="B44" s="38"/>
      <c r="C44" s="34"/>
      <c r="D44" s="34"/>
      <c r="E44" s="37"/>
      <c r="F44" s="37"/>
      <c r="G44" s="37"/>
      <c r="H44" s="37"/>
      <c r="I44" s="53"/>
      <c r="J44" s="52"/>
      <c r="K44" s="52"/>
      <c r="L44" s="52"/>
      <c r="M44" s="52"/>
    </row>
    <row r="45" spans="1:18" ht="15" customHeight="1">
      <c r="A45" s="37"/>
      <c r="B45" s="38"/>
      <c r="C45" s="34"/>
      <c r="D45" s="34"/>
      <c r="E45" s="37"/>
      <c r="F45" s="37"/>
      <c r="G45" s="37"/>
      <c r="H45" s="37"/>
      <c r="I45" s="60" t="s">
        <v>33</v>
      </c>
      <c r="J45" s="62" t="s">
        <v>1</v>
      </c>
      <c r="K45" s="62" t="s">
        <v>13</v>
      </c>
      <c r="L45" s="62" t="s">
        <v>14</v>
      </c>
      <c r="M45" s="62" t="s">
        <v>15</v>
      </c>
      <c r="P45" s="54" t="s">
        <v>13</v>
      </c>
      <c r="Q45" s="54" t="s">
        <v>14</v>
      </c>
      <c r="R45" s="54" t="s">
        <v>15</v>
      </c>
    </row>
    <row r="46" spans="1:18" ht="15" customHeight="1">
      <c r="A46" s="37"/>
      <c r="B46" s="38"/>
      <c r="C46" s="34"/>
      <c r="D46" s="34"/>
      <c r="E46" s="37"/>
      <c r="F46" s="37"/>
      <c r="G46" s="37"/>
      <c r="H46" s="37"/>
      <c r="I46" s="60"/>
      <c r="J46" s="62"/>
      <c r="K46" s="62"/>
      <c r="L46" s="62"/>
      <c r="M46" s="62"/>
      <c r="P46" s="54"/>
      <c r="Q46" s="54"/>
      <c r="R46" s="54"/>
    </row>
    <row r="47" spans="1:18" ht="15" customHeight="1">
      <c r="A47" s="37"/>
      <c r="B47" s="38"/>
      <c r="C47" s="34"/>
      <c r="D47" s="34"/>
      <c r="E47" s="37"/>
      <c r="F47" s="37"/>
      <c r="G47" s="37"/>
      <c r="H47" s="37"/>
      <c r="I47" s="61"/>
      <c r="J47" s="63"/>
      <c r="K47" s="63"/>
      <c r="L47" s="63"/>
      <c r="M47" s="63"/>
      <c r="P47" s="54"/>
      <c r="Q47" s="54"/>
      <c r="R47" s="54"/>
    </row>
    <row r="48" spans="1:18" ht="15">
      <c r="A48" s="37"/>
      <c r="B48" s="38"/>
      <c r="C48" s="34"/>
      <c r="D48" s="34"/>
      <c r="E48" s="37"/>
      <c r="F48" s="37"/>
      <c r="G48" s="37"/>
      <c r="H48" s="37"/>
      <c r="I48" s="51" t="s">
        <v>4</v>
      </c>
      <c r="J48" s="11">
        <v>9</v>
      </c>
      <c r="K48" s="11">
        <v>4</v>
      </c>
      <c r="L48" s="14">
        <v>3</v>
      </c>
      <c r="M48" s="11">
        <v>2</v>
      </c>
      <c r="P48" s="5">
        <f t="shared" ref="P48:P55" si="2">K48/J48</f>
        <v>0.44444444444444442</v>
      </c>
      <c r="Q48" s="5">
        <f t="shared" ref="Q48:Q55" si="3">L48/J48</f>
        <v>0.33333333333333331</v>
      </c>
      <c r="R48" s="5">
        <f t="shared" ref="R48:R55" si="4">M48/J48</f>
        <v>0.22222222222222221</v>
      </c>
    </row>
    <row r="49" spans="1:18" ht="15">
      <c r="A49" s="37"/>
      <c r="B49" s="38"/>
      <c r="C49" s="34"/>
      <c r="D49" s="34"/>
      <c r="E49" s="37"/>
      <c r="F49" s="37"/>
      <c r="G49" s="37"/>
      <c r="H49" s="37"/>
      <c r="I49" s="51" t="s">
        <v>5</v>
      </c>
      <c r="J49" s="20">
        <v>9</v>
      </c>
      <c r="K49" s="11">
        <v>4</v>
      </c>
      <c r="L49" s="14">
        <v>3</v>
      </c>
      <c r="M49" s="11">
        <v>2</v>
      </c>
      <c r="P49" s="5">
        <f t="shared" si="2"/>
        <v>0.44444444444444442</v>
      </c>
      <c r="Q49" s="5">
        <f t="shared" si="3"/>
        <v>0.33333333333333331</v>
      </c>
      <c r="R49" s="5">
        <f t="shared" si="4"/>
        <v>0.22222222222222221</v>
      </c>
    </row>
    <row r="50" spans="1:18" ht="15">
      <c r="A50" s="37"/>
      <c r="B50" s="38"/>
      <c r="C50" s="34"/>
      <c r="D50" s="34"/>
      <c r="E50" s="37"/>
      <c r="F50" s="37"/>
      <c r="G50" s="37"/>
      <c r="H50" s="37"/>
      <c r="I50" s="51" t="s">
        <v>6</v>
      </c>
      <c r="J50" s="20">
        <v>9</v>
      </c>
      <c r="K50" s="11">
        <v>4</v>
      </c>
      <c r="L50" s="14">
        <v>3</v>
      </c>
      <c r="M50" s="11">
        <v>2</v>
      </c>
      <c r="P50" s="5">
        <f t="shared" si="2"/>
        <v>0.44444444444444442</v>
      </c>
      <c r="Q50" s="5">
        <f t="shared" si="3"/>
        <v>0.33333333333333331</v>
      </c>
      <c r="R50" s="5">
        <f t="shared" si="4"/>
        <v>0.22222222222222221</v>
      </c>
    </row>
    <row r="51" spans="1:18" ht="15">
      <c r="A51" s="37"/>
      <c r="B51" s="38"/>
      <c r="C51" s="34"/>
      <c r="D51" s="34"/>
      <c r="E51" s="37"/>
      <c r="F51" s="37"/>
      <c r="G51" s="37"/>
      <c r="H51" s="37"/>
      <c r="I51" s="51" t="s">
        <v>7</v>
      </c>
      <c r="J51" s="20">
        <v>9</v>
      </c>
      <c r="K51" s="11">
        <v>4</v>
      </c>
      <c r="L51" s="14">
        <v>3</v>
      </c>
      <c r="M51" s="11">
        <v>2</v>
      </c>
      <c r="P51" s="5">
        <f t="shared" si="2"/>
        <v>0.44444444444444442</v>
      </c>
      <c r="Q51" s="5">
        <f t="shared" si="3"/>
        <v>0.33333333333333331</v>
      </c>
      <c r="R51" s="5">
        <f t="shared" si="4"/>
        <v>0.22222222222222221</v>
      </c>
    </row>
    <row r="52" spans="1:18" ht="15">
      <c r="A52" s="37"/>
      <c r="B52" s="38"/>
      <c r="C52" s="34"/>
      <c r="D52" s="34"/>
      <c r="E52" s="37"/>
      <c r="F52" s="37"/>
      <c r="G52" s="37"/>
      <c r="H52" s="37"/>
      <c r="I52" s="51" t="s">
        <v>8</v>
      </c>
      <c r="J52" s="20">
        <v>9</v>
      </c>
      <c r="K52" s="11">
        <v>4</v>
      </c>
      <c r="L52" s="14">
        <v>3</v>
      </c>
      <c r="M52" s="11">
        <v>2</v>
      </c>
      <c r="P52" s="5">
        <f t="shared" si="2"/>
        <v>0.44444444444444442</v>
      </c>
      <c r="Q52" s="5">
        <f t="shared" si="3"/>
        <v>0.33333333333333331</v>
      </c>
      <c r="R52" s="5">
        <f t="shared" si="4"/>
        <v>0.22222222222222221</v>
      </c>
    </row>
    <row r="53" spans="1:18" ht="15">
      <c r="A53" s="37"/>
      <c r="B53" s="38"/>
      <c r="C53" s="34"/>
      <c r="D53" s="34"/>
      <c r="E53" s="37"/>
      <c r="F53" s="37"/>
      <c r="G53" s="37"/>
      <c r="H53" s="37"/>
      <c r="I53" s="51" t="s">
        <v>9</v>
      </c>
      <c r="J53" s="20">
        <v>9</v>
      </c>
      <c r="K53" s="11">
        <v>4</v>
      </c>
      <c r="L53" s="14">
        <v>3</v>
      </c>
      <c r="M53" s="11">
        <v>2</v>
      </c>
      <c r="P53" s="5">
        <f t="shared" si="2"/>
        <v>0.44444444444444442</v>
      </c>
      <c r="Q53" s="5">
        <f t="shared" si="3"/>
        <v>0.33333333333333331</v>
      </c>
      <c r="R53" s="5">
        <f t="shared" si="4"/>
        <v>0.22222222222222221</v>
      </c>
    </row>
    <row r="54" spans="1:18" ht="15">
      <c r="A54" s="37"/>
      <c r="B54" s="38"/>
      <c r="C54" s="34"/>
      <c r="D54" s="34"/>
      <c r="E54" s="37"/>
      <c r="F54" s="37"/>
      <c r="G54" s="37"/>
      <c r="H54" s="37"/>
      <c r="I54" s="51" t="s">
        <v>10</v>
      </c>
      <c r="J54" s="20">
        <v>9</v>
      </c>
      <c r="K54" s="11">
        <v>4</v>
      </c>
      <c r="L54" s="14">
        <v>3</v>
      </c>
      <c r="M54" s="11">
        <v>2</v>
      </c>
      <c r="P54" s="5">
        <f t="shared" si="2"/>
        <v>0.44444444444444442</v>
      </c>
      <c r="Q54" s="5">
        <f t="shared" si="3"/>
        <v>0.33333333333333331</v>
      </c>
      <c r="R54" s="5">
        <f t="shared" si="4"/>
        <v>0.22222222222222221</v>
      </c>
    </row>
    <row r="55" spans="1:18" ht="15">
      <c r="A55" s="37"/>
      <c r="B55" s="38"/>
      <c r="C55" s="34"/>
      <c r="D55" s="34"/>
      <c r="E55" s="37"/>
      <c r="F55" s="37"/>
      <c r="G55" s="37"/>
      <c r="H55" s="37"/>
      <c r="I55" s="51" t="s">
        <v>11</v>
      </c>
      <c r="J55" s="20">
        <v>9</v>
      </c>
      <c r="K55" s="11">
        <v>4</v>
      </c>
      <c r="L55" s="14">
        <v>3</v>
      </c>
      <c r="M55" s="11">
        <v>2</v>
      </c>
      <c r="P55" s="5">
        <f t="shared" si="2"/>
        <v>0.44444444444444442</v>
      </c>
      <c r="Q55" s="5">
        <f t="shared" si="3"/>
        <v>0.33333333333333331</v>
      </c>
      <c r="R55" s="5">
        <f t="shared" si="4"/>
        <v>0.22222222222222221</v>
      </c>
    </row>
    <row r="56" spans="1:18" ht="15">
      <c r="A56" s="37"/>
      <c r="B56" s="38"/>
      <c r="C56" s="34"/>
      <c r="D56" s="34"/>
      <c r="E56" s="37"/>
      <c r="F56" s="37"/>
      <c r="G56" s="37"/>
      <c r="H56" s="37"/>
      <c r="I56" s="51" t="s">
        <v>12</v>
      </c>
      <c r="J56" s="11">
        <v>80</v>
      </c>
      <c r="K56" s="11">
        <f>SUM(K48:K55)</f>
        <v>32</v>
      </c>
      <c r="L56" s="14">
        <f>SUM(L48:L55)</f>
        <v>24</v>
      </c>
      <c r="M56" s="11">
        <f>SUM(M48:M55)</f>
        <v>16</v>
      </c>
    </row>
    <row r="57" spans="1:18" ht="15">
      <c r="A57" s="37"/>
      <c r="B57" s="38"/>
      <c r="C57" s="34"/>
      <c r="D57" s="34"/>
      <c r="E57" s="37"/>
      <c r="F57" s="37"/>
      <c r="G57" s="37"/>
      <c r="H57" s="37"/>
      <c r="I57" s="17"/>
      <c r="J57" s="18"/>
      <c r="K57" s="19"/>
      <c r="L57" s="18"/>
    </row>
    <row r="58" spans="1:18" ht="15">
      <c r="A58" s="37"/>
      <c r="B58" s="38"/>
      <c r="C58" s="34"/>
      <c r="D58" s="34"/>
      <c r="E58" s="37"/>
      <c r="F58" s="37"/>
      <c r="G58" s="37"/>
      <c r="H58" s="37"/>
    </row>
    <row r="59" spans="1:18" ht="15">
      <c r="A59" s="37"/>
      <c r="B59" s="38"/>
      <c r="C59" s="34"/>
      <c r="D59" s="34"/>
      <c r="E59" s="37"/>
      <c r="F59" s="37"/>
      <c r="G59" s="37"/>
      <c r="H59" s="37"/>
    </row>
    <row r="60" spans="1:18" ht="15">
      <c r="A60" s="37"/>
      <c r="B60" s="38"/>
      <c r="C60" s="34"/>
      <c r="D60" s="34"/>
      <c r="E60" s="37"/>
      <c r="F60" s="37"/>
      <c r="G60" s="37"/>
      <c r="H60" s="37"/>
    </row>
    <row r="61" spans="1:18" ht="15">
      <c r="A61" s="37"/>
      <c r="B61" s="38"/>
      <c r="C61" s="34"/>
      <c r="D61" s="34"/>
      <c r="E61" s="37"/>
      <c r="F61" s="37"/>
      <c r="G61" s="37"/>
      <c r="H61" s="37"/>
    </row>
    <row r="62" spans="1:18" ht="15">
      <c r="A62" s="37"/>
      <c r="B62" s="38"/>
      <c r="C62" s="34"/>
      <c r="D62" s="34"/>
      <c r="E62" s="37"/>
      <c r="F62" s="37"/>
      <c r="G62" s="37"/>
      <c r="H62" s="37"/>
    </row>
    <row r="63" spans="1:18" ht="15">
      <c r="A63" s="37"/>
      <c r="B63" s="38"/>
      <c r="C63" s="34"/>
      <c r="D63" s="34"/>
      <c r="E63" s="37"/>
      <c r="F63" s="37"/>
      <c r="G63" s="37"/>
      <c r="H63" s="37"/>
    </row>
    <row r="64" spans="1:18" ht="15">
      <c r="A64" s="37"/>
      <c r="B64" s="38"/>
      <c r="C64" s="34"/>
      <c r="D64" s="34"/>
      <c r="E64" s="37"/>
      <c r="F64" s="37"/>
      <c r="G64" s="37"/>
      <c r="H64" s="37"/>
    </row>
    <row r="65" spans="1:13" ht="15">
      <c r="A65" s="37"/>
      <c r="B65" s="38"/>
      <c r="C65" s="34"/>
      <c r="D65" s="34"/>
      <c r="E65" s="37"/>
      <c r="F65" s="37"/>
      <c r="G65" s="37"/>
      <c r="H65" s="37"/>
    </row>
    <row r="66" spans="1:13" ht="15">
      <c r="A66" s="37"/>
      <c r="B66" s="38"/>
      <c r="C66" s="34"/>
      <c r="D66" s="34"/>
      <c r="E66" s="37"/>
      <c r="F66" s="37"/>
      <c r="G66" s="37"/>
      <c r="H66" s="37"/>
    </row>
    <row r="67" spans="1:13" ht="15">
      <c r="A67" s="37"/>
      <c r="B67" s="38"/>
      <c r="C67" s="34"/>
      <c r="D67" s="34"/>
      <c r="E67" s="37"/>
      <c r="F67" s="37"/>
      <c r="G67" s="37"/>
      <c r="H67" s="37"/>
    </row>
    <row r="68" spans="1:13" ht="15">
      <c r="A68" s="37"/>
      <c r="B68" s="38"/>
      <c r="C68" s="34"/>
      <c r="D68" s="34"/>
      <c r="E68" s="37"/>
      <c r="F68" s="37"/>
      <c r="G68" s="37"/>
      <c r="H68" s="37"/>
    </row>
    <row r="69" spans="1:13" ht="15">
      <c r="A69" s="37"/>
      <c r="B69" s="38"/>
      <c r="C69" s="34"/>
      <c r="D69" s="34"/>
      <c r="E69" s="37"/>
      <c r="F69" s="37"/>
      <c r="G69" s="37"/>
      <c r="H69" s="37"/>
    </row>
    <row r="70" spans="1:13" ht="15">
      <c r="A70" s="37"/>
      <c r="B70" s="38"/>
      <c r="C70" s="34"/>
      <c r="D70" s="34"/>
      <c r="E70" s="37"/>
      <c r="F70" s="37"/>
      <c r="G70" s="37"/>
      <c r="H70" s="37"/>
    </row>
    <row r="71" spans="1:13" ht="15">
      <c r="A71" s="37"/>
      <c r="B71" s="38"/>
      <c r="C71" s="34"/>
      <c r="D71" s="34"/>
      <c r="E71" s="37"/>
      <c r="F71" s="37"/>
      <c r="G71" s="37"/>
      <c r="H71" s="37"/>
    </row>
    <row r="72" spans="1:13" ht="15">
      <c r="A72" s="37"/>
      <c r="B72" s="38"/>
      <c r="C72" s="34"/>
      <c r="D72" s="34"/>
      <c r="E72" s="37"/>
      <c r="F72" s="37"/>
      <c r="G72" s="37"/>
      <c r="H72" s="37"/>
    </row>
    <row r="73" spans="1:13" ht="15">
      <c r="A73" s="37"/>
      <c r="B73" s="38"/>
      <c r="C73" s="34"/>
      <c r="D73" s="34"/>
      <c r="E73" s="37"/>
      <c r="F73" s="37"/>
      <c r="G73" s="37"/>
      <c r="H73" s="37"/>
    </row>
    <row r="74" spans="1:13" ht="15">
      <c r="A74" s="37"/>
      <c r="B74" s="38"/>
      <c r="C74" s="34"/>
      <c r="D74" s="34"/>
      <c r="E74" s="37"/>
      <c r="F74" s="37"/>
      <c r="G74" s="37"/>
      <c r="H74" s="37"/>
      <c r="M74" t="s">
        <v>16</v>
      </c>
    </row>
    <row r="75" spans="1:13" ht="15">
      <c r="A75" s="37"/>
      <c r="B75" s="38"/>
      <c r="C75" s="34"/>
      <c r="D75" s="34"/>
      <c r="E75" s="37"/>
      <c r="F75" s="37"/>
      <c r="G75" s="37"/>
      <c r="H75" s="37"/>
    </row>
    <row r="76" spans="1:13" ht="15">
      <c r="A76" s="37"/>
      <c r="B76" s="38"/>
      <c r="C76" s="34"/>
      <c r="D76" s="34"/>
      <c r="E76" s="37"/>
      <c r="F76" s="37"/>
      <c r="G76" s="37"/>
      <c r="H76" s="37"/>
    </row>
    <row r="77" spans="1:13" ht="15">
      <c r="A77" s="37"/>
      <c r="B77" s="38"/>
      <c r="C77" s="34"/>
      <c r="D77" s="34"/>
      <c r="E77" s="37"/>
      <c r="F77" s="37"/>
      <c r="G77" s="37"/>
      <c r="H77" s="37"/>
    </row>
    <row r="78" spans="1:13" ht="15">
      <c r="A78" s="37"/>
      <c r="B78" s="38"/>
      <c r="C78" s="34"/>
      <c r="D78" s="34"/>
      <c r="E78" s="37"/>
      <c r="F78" s="37"/>
      <c r="G78" s="37"/>
      <c r="H78" s="37"/>
    </row>
    <row r="79" spans="1:13" ht="15">
      <c r="A79" s="37"/>
      <c r="B79" s="38"/>
      <c r="C79" s="34"/>
      <c r="D79" s="34"/>
      <c r="E79" s="37"/>
      <c r="F79" s="37"/>
      <c r="G79" s="37"/>
      <c r="H79" s="37"/>
    </row>
    <row r="80" spans="1:13" ht="15">
      <c r="A80" s="37"/>
      <c r="B80" s="38"/>
      <c r="C80" s="34"/>
      <c r="D80" s="34"/>
      <c r="E80" s="37"/>
      <c r="F80" s="37"/>
      <c r="G80" s="37"/>
      <c r="H80" s="37"/>
    </row>
    <row r="81" spans="1:8" ht="15">
      <c r="A81" s="37"/>
      <c r="B81" s="38"/>
      <c r="C81" s="34"/>
      <c r="D81" s="34"/>
      <c r="E81" s="37"/>
      <c r="F81" s="37"/>
      <c r="G81" s="37"/>
      <c r="H81" s="37"/>
    </row>
    <row r="82" spans="1:8" ht="15">
      <c r="A82" s="37"/>
      <c r="B82" s="38"/>
      <c r="C82" s="34"/>
      <c r="D82" s="34"/>
      <c r="E82" s="37"/>
      <c r="F82" s="37"/>
      <c r="G82" s="37"/>
      <c r="H82" s="37"/>
    </row>
    <row r="83" spans="1:8" ht="15">
      <c r="A83" s="37"/>
      <c r="B83" s="38"/>
      <c r="C83" s="34"/>
      <c r="D83" s="34"/>
      <c r="E83" s="37"/>
      <c r="F83" s="37"/>
      <c r="G83" s="37"/>
      <c r="H83" s="37"/>
    </row>
    <row r="84" spans="1:8" ht="15">
      <c r="A84" s="37"/>
      <c r="B84" s="38"/>
      <c r="C84" s="34"/>
      <c r="D84" s="34"/>
      <c r="E84" s="37"/>
      <c r="F84" s="37"/>
      <c r="G84" s="37"/>
      <c r="H84" s="37"/>
    </row>
    <row r="85" spans="1:8" ht="15">
      <c r="A85" s="37"/>
      <c r="B85" s="38"/>
      <c r="C85" s="34"/>
      <c r="D85" s="34"/>
      <c r="E85" s="37"/>
      <c r="F85" s="37"/>
      <c r="G85" s="37"/>
      <c r="H85" s="37"/>
    </row>
    <row r="86" spans="1:8" ht="15">
      <c r="A86" s="37"/>
      <c r="B86" s="38"/>
      <c r="C86" s="34"/>
      <c r="D86" s="34"/>
      <c r="E86" s="37"/>
      <c r="F86" s="37"/>
      <c r="G86" s="37"/>
      <c r="H86" s="37"/>
    </row>
    <row r="87" spans="1:8" ht="15">
      <c r="A87" s="37"/>
      <c r="B87" s="38"/>
      <c r="C87" s="34"/>
      <c r="D87" s="34"/>
      <c r="E87" s="37"/>
      <c r="F87" s="37"/>
      <c r="G87" s="37"/>
      <c r="H87" s="37"/>
    </row>
    <row r="88" spans="1:8" ht="15">
      <c r="A88" s="37"/>
      <c r="B88" s="38"/>
      <c r="C88" s="34"/>
      <c r="D88" s="34"/>
      <c r="E88" s="37"/>
      <c r="F88" s="37"/>
      <c r="G88" s="37"/>
      <c r="H88" s="37"/>
    </row>
    <row r="89" spans="1:8" ht="15">
      <c r="A89" s="37"/>
      <c r="B89" s="38"/>
      <c r="C89" s="34"/>
      <c r="D89" s="34"/>
      <c r="E89" s="37"/>
      <c r="F89" s="37"/>
      <c r="G89" s="37"/>
      <c r="H89" s="37"/>
    </row>
    <row r="90" spans="1:8" ht="15">
      <c r="A90" s="37"/>
      <c r="B90" s="38"/>
      <c r="C90" s="34"/>
      <c r="D90" s="34"/>
      <c r="E90" s="37"/>
      <c r="F90" s="37"/>
      <c r="G90" s="37"/>
      <c r="H90" s="37"/>
    </row>
    <row r="91" spans="1:8" ht="15">
      <c r="A91" s="37"/>
      <c r="B91" s="38"/>
      <c r="C91" s="34"/>
      <c r="D91" s="34"/>
      <c r="E91" s="37"/>
      <c r="F91" s="37"/>
      <c r="G91" s="37"/>
      <c r="H91" s="37"/>
    </row>
    <row r="92" spans="1:8" ht="15">
      <c r="A92" s="37"/>
      <c r="B92" s="38"/>
      <c r="C92" s="34"/>
      <c r="D92" s="34"/>
      <c r="E92" s="37"/>
      <c r="F92" s="37"/>
      <c r="G92" s="37"/>
      <c r="H92" s="37"/>
    </row>
    <row r="93" spans="1:8" ht="15">
      <c r="A93" s="37"/>
      <c r="B93" s="38"/>
      <c r="C93" s="34"/>
      <c r="D93" s="34"/>
      <c r="E93" s="37"/>
      <c r="F93" s="37"/>
      <c r="G93" s="37"/>
      <c r="H93" s="37"/>
    </row>
    <row r="94" spans="1:8" ht="15">
      <c r="A94" s="37"/>
      <c r="B94" s="38"/>
      <c r="C94" s="34"/>
      <c r="D94" s="34"/>
      <c r="E94" s="37"/>
      <c r="F94" s="37"/>
      <c r="G94" s="37"/>
      <c r="H94" s="37"/>
    </row>
    <row r="95" spans="1:8" ht="15">
      <c r="B95" s="38"/>
      <c r="C95" s="34"/>
      <c r="D95" s="34"/>
      <c r="E95" s="37"/>
      <c r="F95" s="37"/>
      <c r="G95" s="37"/>
      <c r="H95" s="37"/>
    </row>
    <row r="96" spans="1:8" ht="15">
      <c r="A96" s="37"/>
      <c r="B96" s="38"/>
      <c r="C96" s="34"/>
      <c r="D96" s="34"/>
      <c r="E96" s="37"/>
      <c r="F96" s="37"/>
      <c r="G96" s="37"/>
      <c r="H96" s="37"/>
    </row>
    <row r="97" spans="1:8" ht="15">
      <c r="A97" s="12"/>
      <c r="B97" s="44"/>
      <c r="C97" s="12"/>
      <c r="D97" s="45"/>
      <c r="E97" s="44"/>
      <c r="F97" s="12"/>
      <c r="G97" s="12"/>
      <c r="H97" s="12"/>
    </row>
    <row r="98" spans="1:8" ht="15">
      <c r="A98" s="31"/>
      <c r="B98" s="46"/>
      <c r="C98" s="31"/>
      <c r="D98" s="47"/>
      <c r="E98" s="46"/>
      <c r="F98" s="31"/>
      <c r="G98" s="31"/>
      <c r="H98" s="31"/>
    </row>
    <row r="99" spans="1:8" ht="15">
      <c r="B99" s="8"/>
    </row>
    <row r="101" spans="1:8" ht="15">
      <c r="C101" s="6"/>
      <c r="D101" s="7"/>
      <c r="E101" s="7"/>
    </row>
    <row r="102" spans="1:8" ht="12" customHeight="1"/>
    <row r="113" spans="2:5">
      <c r="B113" s="17"/>
      <c r="C113" s="17"/>
      <c r="D113" s="17"/>
      <c r="E113" s="17"/>
    </row>
    <row r="114" spans="2:5">
      <c r="B114" s="17"/>
      <c r="C114" s="17"/>
      <c r="D114" s="17"/>
      <c r="E114" s="17"/>
    </row>
    <row r="115" spans="2:5">
      <c r="B115" s="17"/>
      <c r="C115" s="17"/>
      <c r="D115" s="17"/>
      <c r="E115" s="17"/>
    </row>
    <row r="116" spans="2:5">
      <c r="B116" s="17"/>
      <c r="C116" s="17"/>
      <c r="D116" s="17"/>
      <c r="E116" s="17"/>
    </row>
    <row r="117" spans="2:5">
      <c r="B117" s="17"/>
      <c r="C117" s="17"/>
      <c r="D117" s="17"/>
      <c r="E117" s="17"/>
    </row>
    <row r="118" spans="2:5">
      <c r="B118" s="17"/>
      <c r="C118" s="17"/>
      <c r="D118" s="17"/>
      <c r="E118" s="17"/>
    </row>
    <row r="119" spans="2:5">
      <c r="B119" s="17"/>
      <c r="C119" s="17"/>
      <c r="D119" s="17"/>
      <c r="E119" s="17"/>
    </row>
    <row r="120" spans="2:5">
      <c r="B120" s="17"/>
      <c r="C120" s="17"/>
      <c r="D120" s="17"/>
      <c r="E120" s="17"/>
    </row>
    <row r="121" spans="2:5">
      <c r="B121" s="17"/>
      <c r="C121" s="17"/>
      <c r="D121" s="17"/>
      <c r="E121" s="17"/>
    </row>
    <row r="122" spans="2:5">
      <c r="B122" s="17"/>
      <c r="C122" s="17"/>
      <c r="D122" s="17"/>
      <c r="E122" s="17"/>
    </row>
    <row r="123" spans="2:5" ht="16.5" customHeight="1"/>
    <row r="133" spans="3:6" ht="15">
      <c r="C133" s="6"/>
      <c r="D133" s="7"/>
      <c r="E133" s="7"/>
      <c r="F133" s="7"/>
    </row>
    <row r="134" spans="3:6" ht="15.75" customHeight="1"/>
    <row r="135" spans="3:6" ht="17.25" customHeight="1"/>
    <row r="145" spans="2:6">
      <c r="B145" s="17"/>
      <c r="C145" s="18"/>
      <c r="D145" s="18"/>
      <c r="E145" s="19"/>
      <c r="F145" s="18"/>
    </row>
    <row r="162" spans="7:7">
      <c r="G162" t="s">
        <v>16</v>
      </c>
    </row>
  </sheetData>
  <mergeCells count="14">
    <mergeCell ref="A1:A3"/>
    <mergeCell ref="I9:L9"/>
    <mergeCell ref="I42:M42"/>
    <mergeCell ref="I45:I47"/>
    <mergeCell ref="J45:J47"/>
    <mergeCell ref="K45:K47"/>
    <mergeCell ref="L45:L47"/>
    <mergeCell ref="M45:M47"/>
    <mergeCell ref="P45:P47"/>
    <mergeCell ref="Q45:Q47"/>
    <mergeCell ref="R45:R47"/>
    <mergeCell ref="I5:L5"/>
    <mergeCell ref="B1:H1"/>
    <mergeCell ref="B2:H3"/>
  </mergeCells>
  <pageMargins left="0.70866141732283472" right="0.70866141732283472" top="0.59055118110236227" bottom="0.59055118110236227" header="0.11811023622047245" footer="0.11811023622047245"/>
  <pageSetup paperSize="9" scale="49" orientation="portrait" r:id="rId1"/>
  <rowBreaks count="1" manualBreakCount="1">
    <brk id="98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u201922297 (Vasquez Torreblanca, Diego Joel)</dc:creator>
  <cp:lastModifiedBy>ROGELIO</cp:lastModifiedBy>
  <cp:lastPrinted>2025-09-13T21:25:04Z</cp:lastPrinted>
  <dcterms:created xsi:type="dcterms:W3CDTF">2025-03-17T19:29:11Z</dcterms:created>
  <dcterms:modified xsi:type="dcterms:W3CDTF">2025-10-13T03:54:27Z</dcterms:modified>
</cp:coreProperties>
</file>